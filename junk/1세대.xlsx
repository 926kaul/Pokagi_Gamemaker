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26ka\GameMakerProjects\Pokagi\junk\"/>
    </mc:Choice>
  </mc:AlternateContent>
  <xr:revisionPtr revIDLastSave="0" documentId="13_ncr:1_{068AA936-6178-473F-83BE-C336486629E9}" xr6:coauthVersionLast="47" xr6:coauthVersionMax="47" xr10:uidLastSave="{00000000-0000-0000-0000-000000000000}"/>
  <bookViews>
    <workbookView xWindow="390" yWindow="390" windowWidth="21600" windowHeight="11295" xr2:uid="{718CA970-D79A-49F4-8B72-C8CA0100E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5" i="1" l="1"/>
  <c r="N165" i="1"/>
  <c r="O165" i="1"/>
  <c r="P165" i="1"/>
  <c r="Q165" i="1"/>
  <c r="R165" i="1"/>
  <c r="S165" i="1"/>
  <c r="L165" i="1"/>
  <c r="O14" i="1" a="1"/>
  <c r="O14" i="1" s="1"/>
  <c r="O15" i="1" a="1"/>
  <c r="O15" i="1" s="1"/>
  <c r="O16" i="1" a="1"/>
  <c r="O16" i="1" s="1"/>
  <c r="O17" i="1" a="1"/>
  <c r="O17" i="1" s="1"/>
  <c r="O18" i="1" a="1"/>
  <c r="O18" i="1"/>
  <c r="O19" i="1" a="1"/>
  <c r="O19" i="1" s="1"/>
  <c r="O20" i="1" a="1"/>
  <c r="O20" i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/>
  <c r="O81" i="1" a="1"/>
  <c r="O81" i="1" s="1"/>
  <c r="O82" i="1" a="1"/>
  <c r="O82" i="1" s="1"/>
  <c r="O83" i="1" a="1"/>
  <c r="O83" i="1" s="1"/>
  <c r="O84" i="1" a="1"/>
  <c r="O84" i="1" s="1"/>
  <c r="O85" i="1" a="1"/>
  <c r="O85" i="1" s="1"/>
  <c r="O86" i="1" a="1"/>
  <c r="O86" i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/>
  <c r="O93" i="1" a="1"/>
  <c r="O93" i="1" s="1"/>
  <c r="O94" i="1" a="1"/>
  <c r="O94" i="1" s="1"/>
  <c r="O95" i="1" a="1"/>
  <c r="O95" i="1" s="1"/>
  <c r="O96" i="1" a="1"/>
  <c r="O96" i="1" s="1"/>
  <c r="O97" i="1" a="1"/>
  <c r="O97" i="1" s="1"/>
  <c r="O98" i="1" a="1"/>
  <c r="O98" i="1"/>
  <c r="O99" i="1" a="1"/>
  <c r="O99" i="1" s="1"/>
  <c r="O100" i="1" a="1"/>
  <c r="O100" i="1" s="1"/>
  <c r="O101" i="1" a="1"/>
  <c r="O101" i="1" s="1"/>
  <c r="O102" i="1" a="1"/>
  <c r="O102" i="1" s="1"/>
  <c r="O103" i="1" a="1"/>
  <c r="O103" i="1" s="1"/>
  <c r="O104" i="1" a="1"/>
  <c r="O104" i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O110" i="1" a="1"/>
  <c r="O110" i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/>
  <c r="O141" i="1" a="1"/>
  <c r="O141" i="1" s="1"/>
  <c r="O142" i="1" a="1"/>
  <c r="O142" i="1" s="1"/>
  <c r="O143" i="1" a="1"/>
  <c r="O143" i="1" s="1"/>
  <c r="O144" i="1" a="1"/>
  <c r="O144" i="1" s="1"/>
  <c r="O145" i="1" a="1"/>
  <c r="O145" i="1" s="1"/>
  <c r="O146" i="1" a="1"/>
  <c r="O146" i="1"/>
  <c r="O147" i="1" a="1"/>
  <c r="O147" i="1" s="1"/>
  <c r="O148" i="1" a="1"/>
  <c r="O148" i="1" s="1"/>
  <c r="O149" i="1" a="1"/>
  <c r="O149" i="1" s="1"/>
  <c r="O150" i="1" a="1"/>
  <c r="O150" i="1" s="1"/>
  <c r="O151" i="1" a="1"/>
  <c r="O151" i="1" s="1"/>
  <c r="O152" i="1" a="1"/>
  <c r="O152" i="1"/>
  <c r="O153" i="1" a="1"/>
  <c r="O153" i="1" s="1"/>
  <c r="O154" i="1" a="1"/>
  <c r="O154" i="1" s="1"/>
  <c r="O155" i="1" a="1"/>
  <c r="O155" i="1" s="1"/>
  <c r="O156" i="1" a="1"/>
  <c r="O156" i="1" s="1"/>
  <c r="O157" i="1" a="1"/>
  <c r="O157" i="1" s="1"/>
  <c r="O158" i="1" a="1"/>
  <c r="O158" i="1"/>
  <c r="O159" i="1" a="1"/>
  <c r="O159" i="1" s="1"/>
  <c r="O160" i="1" a="1"/>
  <c r="O160" i="1" s="1"/>
  <c r="O161" i="1" a="1"/>
  <c r="O161" i="1" s="1"/>
  <c r="O162" i="1" a="1"/>
  <c r="O162" i="1" s="1"/>
  <c r="O163" i="1" a="1"/>
  <c r="O163" i="1" s="1"/>
  <c r="O164" i="1" a="1"/>
  <c r="O164" i="1"/>
  <c r="L15" i="1" a="1"/>
  <c r="L15" i="1" s="1"/>
  <c r="M15" i="1" a="1"/>
  <c r="M15" i="1"/>
  <c r="N15" i="1" a="1"/>
  <c r="N15" i="1" s="1"/>
  <c r="P15" i="1" a="1"/>
  <c r="P15" i="1"/>
  <c r="L16" i="1" a="1"/>
  <c r="L16" i="1"/>
  <c r="M16" i="1" a="1"/>
  <c r="M16" i="1" s="1"/>
  <c r="N16" i="1" a="1"/>
  <c r="N16" i="1"/>
  <c r="P16" i="1" a="1"/>
  <c r="P16" i="1"/>
  <c r="L17" i="1" a="1"/>
  <c r="L17" i="1"/>
  <c r="M17" i="1" a="1"/>
  <c r="M17" i="1" s="1"/>
  <c r="Q17" i="1" s="1"/>
  <c r="N17" i="1" a="1"/>
  <c r="N17" i="1" s="1"/>
  <c r="P17" i="1" a="1"/>
  <c r="P17" i="1" s="1"/>
  <c r="R17" i="1" s="1"/>
  <c r="L18" i="1" a="1"/>
  <c r="L18" i="1"/>
  <c r="M18" i="1" a="1"/>
  <c r="M18" i="1" s="1"/>
  <c r="N18" i="1" a="1"/>
  <c r="N18" i="1" s="1"/>
  <c r="R18" i="1" s="1"/>
  <c r="P18" i="1" a="1"/>
  <c r="P18" i="1"/>
  <c r="L19" i="1" a="1"/>
  <c r="L19" i="1" s="1"/>
  <c r="M19" i="1" a="1"/>
  <c r="M19" i="1"/>
  <c r="N19" i="1" a="1"/>
  <c r="N19" i="1" s="1"/>
  <c r="R19" i="1" s="1"/>
  <c r="P19" i="1" a="1"/>
  <c r="P19" i="1" s="1"/>
  <c r="L20" i="1" a="1"/>
  <c r="L20" i="1"/>
  <c r="M20" i="1" a="1"/>
  <c r="M20" i="1" s="1"/>
  <c r="N20" i="1" a="1"/>
  <c r="N20" i="1" s="1"/>
  <c r="P20" i="1" a="1"/>
  <c r="P20" i="1"/>
  <c r="L21" i="1" a="1"/>
  <c r="L21" i="1" s="1"/>
  <c r="M21" i="1" a="1"/>
  <c r="M21" i="1"/>
  <c r="N21" i="1" a="1"/>
  <c r="N21" i="1" s="1"/>
  <c r="P21" i="1" a="1"/>
  <c r="P21" i="1" s="1"/>
  <c r="L22" i="1" a="1"/>
  <c r="L22" i="1" s="1"/>
  <c r="M22" i="1" a="1"/>
  <c r="M22" i="1" s="1"/>
  <c r="N22" i="1" a="1"/>
  <c r="N22" i="1"/>
  <c r="P22" i="1" a="1"/>
  <c r="P22" i="1" s="1"/>
  <c r="L23" i="1" a="1"/>
  <c r="L23" i="1" s="1"/>
  <c r="M23" i="1" a="1"/>
  <c r="M23" i="1"/>
  <c r="N23" i="1" a="1"/>
  <c r="N23" i="1" s="1"/>
  <c r="P23" i="1" a="1"/>
  <c r="P23" i="1" s="1"/>
  <c r="L24" i="1" a="1"/>
  <c r="L24" i="1" s="1"/>
  <c r="M24" i="1" a="1"/>
  <c r="M24" i="1" s="1"/>
  <c r="N24" i="1" a="1"/>
  <c r="N24" i="1"/>
  <c r="P24" i="1" a="1"/>
  <c r="P24" i="1"/>
  <c r="L25" i="1" a="1"/>
  <c r="L25" i="1" s="1"/>
  <c r="M25" i="1" a="1"/>
  <c r="M25" i="1" s="1"/>
  <c r="N25" i="1" a="1"/>
  <c r="N25" i="1" s="1"/>
  <c r="P25" i="1" a="1"/>
  <c r="P25" i="1" s="1"/>
  <c r="L26" i="1" a="1"/>
  <c r="L26" i="1" s="1"/>
  <c r="M26" i="1" a="1"/>
  <c r="M26" i="1" s="1"/>
  <c r="N26" i="1" a="1"/>
  <c r="N26" i="1" s="1"/>
  <c r="P26" i="1" a="1"/>
  <c r="P26" i="1"/>
  <c r="Q26" i="1" s="1"/>
  <c r="L27" i="1" a="1"/>
  <c r="L27" i="1" s="1"/>
  <c r="M27" i="1" a="1"/>
  <c r="M27" i="1" s="1"/>
  <c r="N27" i="1" a="1"/>
  <c r="N27" i="1" s="1"/>
  <c r="P27" i="1" a="1"/>
  <c r="P27" i="1" s="1"/>
  <c r="L28" i="1" a="1"/>
  <c r="L28" i="1"/>
  <c r="M28" i="1" a="1"/>
  <c r="M28" i="1" s="1"/>
  <c r="N28" i="1" a="1"/>
  <c r="N28" i="1" s="1"/>
  <c r="P28" i="1" a="1"/>
  <c r="P28" i="1" s="1"/>
  <c r="L29" i="1" a="1"/>
  <c r="L29" i="1" s="1"/>
  <c r="M29" i="1" a="1"/>
  <c r="M29" i="1"/>
  <c r="N29" i="1" a="1"/>
  <c r="N29" i="1" s="1"/>
  <c r="P29" i="1" a="1"/>
  <c r="P29" i="1" s="1"/>
  <c r="L30" i="1" a="1"/>
  <c r="L30" i="1" s="1"/>
  <c r="M30" i="1" a="1"/>
  <c r="M30" i="1" s="1"/>
  <c r="N30" i="1" a="1"/>
  <c r="N30" i="1"/>
  <c r="P30" i="1" a="1"/>
  <c r="P30" i="1" s="1"/>
  <c r="L31" i="1" a="1"/>
  <c r="L31" i="1" s="1"/>
  <c r="M31" i="1" a="1"/>
  <c r="M31" i="1" s="1"/>
  <c r="N31" i="1" a="1"/>
  <c r="N31" i="1" s="1"/>
  <c r="P31" i="1" a="1"/>
  <c r="P31" i="1" s="1"/>
  <c r="L32" i="1" a="1"/>
  <c r="L32" i="1" s="1"/>
  <c r="M32" i="1" a="1"/>
  <c r="M32" i="1" s="1"/>
  <c r="N32" i="1" a="1"/>
  <c r="N32" i="1" s="1"/>
  <c r="P32" i="1" a="1"/>
  <c r="P32" i="1" s="1"/>
  <c r="L33" i="1" a="1"/>
  <c r="L33" i="1" s="1"/>
  <c r="M33" i="1" a="1"/>
  <c r="M33" i="1" s="1"/>
  <c r="N33" i="1" a="1"/>
  <c r="N33" i="1" s="1"/>
  <c r="P33" i="1" a="1"/>
  <c r="P33" i="1" s="1"/>
  <c r="L34" i="1" a="1"/>
  <c r="L34" i="1" s="1"/>
  <c r="M34" i="1" a="1"/>
  <c r="M34" i="1" s="1"/>
  <c r="N34" i="1" a="1"/>
  <c r="N34" i="1" s="1"/>
  <c r="P34" i="1" a="1"/>
  <c r="P34" i="1" s="1"/>
  <c r="L35" i="1" a="1"/>
  <c r="L35" i="1" s="1"/>
  <c r="M35" i="1" a="1"/>
  <c r="M35" i="1" s="1"/>
  <c r="Q35" i="1" s="1"/>
  <c r="N35" i="1" a="1"/>
  <c r="N35" i="1" s="1"/>
  <c r="P35" i="1" a="1"/>
  <c r="P35" i="1" s="1"/>
  <c r="L36" i="1" a="1"/>
  <c r="L36" i="1" s="1"/>
  <c r="M36" i="1" a="1"/>
  <c r="M36" i="1" s="1"/>
  <c r="N36" i="1" a="1"/>
  <c r="N36" i="1" s="1"/>
  <c r="R36" i="1" s="1"/>
  <c r="P36" i="1" a="1"/>
  <c r="P36" i="1" s="1"/>
  <c r="L37" i="1" a="1"/>
  <c r="L37" i="1" s="1"/>
  <c r="M37" i="1" a="1"/>
  <c r="M37" i="1" s="1"/>
  <c r="Q37" i="1" s="1"/>
  <c r="N37" i="1" a="1"/>
  <c r="N37" i="1" s="1"/>
  <c r="P37" i="1" a="1"/>
  <c r="P37" i="1" s="1"/>
  <c r="L38" i="1" a="1"/>
  <c r="L38" i="1" s="1"/>
  <c r="M38" i="1" a="1"/>
  <c r="M38" i="1" s="1"/>
  <c r="N38" i="1" a="1"/>
  <c r="N38" i="1" s="1"/>
  <c r="P38" i="1" a="1"/>
  <c r="P38" i="1"/>
  <c r="L39" i="1" a="1"/>
  <c r="L39" i="1" s="1"/>
  <c r="M39" i="1" a="1"/>
  <c r="M39" i="1" s="1"/>
  <c r="Q39" i="1" s="1"/>
  <c r="N39" i="1" a="1"/>
  <c r="N39" i="1" s="1"/>
  <c r="P39" i="1" a="1"/>
  <c r="P39" i="1" s="1"/>
  <c r="L40" i="1" a="1"/>
  <c r="L40" i="1" s="1"/>
  <c r="M40" i="1" a="1"/>
  <c r="M40" i="1" s="1"/>
  <c r="N40" i="1" a="1"/>
  <c r="N40" i="1" s="1"/>
  <c r="P40" i="1" a="1"/>
  <c r="P40" i="1" s="1"/>
  <c r="L41" i="1" a="1"/>
  <c r="L41" i="1" s="1"/>
  <c r="M41" i="1" a="1"/>
  <c r="M41" i="1"/>
  <c r="Q41" i="1" s="1"/>
  <c r="N41" i="1" a="1"/>
  <c r="N41" i="1" s="1"/>
  <c r="P41" i="1" a="1"/>
  <c r="P41" i="1" s="1"/>
  <c r="L42" i="1" a="1"/>
  <c r="L42" i="1" s="1"/>
  <c r="M42" i="1" a="1"/>
  <c r="M42" i="1" s="1"/>
  <c r="N42" i="1" a="1"/>
  <c r="N42" i="1"/>
  <c r="P42" i="1" a="1"/>
  <c r="P42" i="1" s="1"/>
  <c r="L43" i="1" a="1"/>
  <c r="L43" i="1" s="1"/>
  <c r="M43" i="1" a="1"/>
  <c r="M43" i="1" s="1"/>
  <c r="N43" i="1" a="1"/>
  <c r="N43" i="1" s="1"/>
  <c r="R43" i="1" s="1"/>
  <c r="P43" i="1" a="1"/>
  <c r="P43" i="1" s="1"/>
  <c r="L44" i="1" a="1"/>
  <c r="L44" i="1" s="1"/>
  <c r="M44" i="1" a="1"/>
  <c r="M44" i="1" s="1"/>
  <c r="N44" i="1" a="1"/>
  <c r="N44" i="1" s="1"/>
  <c r="P44" i="1" a="1"/>
  <c r="P44" i="1"/>
  <c r="L45" i="1" a="1"/>
  <c r="L45" i="1" s="1"/>
  <c r="M45" i="1" a="1"/>
  <c r="M45" i="1" s="1"/>
  <c r="N45" i="1" a="1"/>
  <c r="N45" i="1" s="1"/>
  <c r="P45" i="1" a="1"/>
  <c r="P45" i="1" s="1"/>
  <c r="L46" i="1" a="1"/>
  <c r="L46" i="1"/>
  <c r="M46" i="1" a="1"/>
  <c r="M46" i="1" s="1"/>
  <c r="N46" i="1" a="1"/>
  <c r="N46" i="1" s="1"/>
  <c r="P46" i="1" a="1"/>
  <c r="P46" i="1" s="1"/>
  <c r="L47" i="1" a="1"/>
  <c r="L47" i="1" s="1"/>
  <c r="M47" i="1" a="1"/>
  <c r="M47" i="1" s="1"/>
  <c r="Q47" i="1" s="1"/>
  <c r="N47" i="1" a="1"/>
  <c r="N47" i="1" s="1"/>
  <c r="R47" i="1" s="1"/>
  <c r="P47" i="1" a="1"/>
  <c r="P47" i="1" s="1"/>
  <c r="L48" i="1" a="1"/>
  <c r="L48" i="1" s="1"/>
  <c r="M48" i="1" a="1"/>
  <c r="M48" i="1" s="1"/>
  <c r="N48" i="1" a="1"/>
  <c r="N48" i="1" s="1"/>
  <c r="R48" i="1" s="1"/>
  <c r="P48" i="1" a="1"/>
  <c r="P48" i="1" s="1"/>
  <c r="L49" i="1" a="1"/>
  <c r="L49" i="1" s="1"/>
  <c r="M49" i="1" a="1"/>
  <c r="M49" i="1" s="1"/>
  <c r="N49" i="1" a="1"/>
  <c r="N49" i="1" s="1"/>
  <c r="P49" i="1" a="1"/>
  <c r="P49" i="1" s="1"/>
  <c r="L50" i="1" a="1"/>
  <c r="L50" i="1" s="1"/>
  <c r="M50" i="1" a="1"/>
  <c r="M50" i="1" s="1"/>
  <c r="N50" i="1" a="1"/>
  <c r="N50" i="1" s="1"/>
  <c r="P50" i="1" a="1"/>
  <c r="P50" i="1" s="1"/>
  <c r="L51" i="1" a="1"/>
  <c r="L51" i="1" s="1"/>
  <c r="M51" i="1" a="1"/>
  <c r="M51" i="1" s="1"/>
  <c r="N51" i="1" a="1"/>
  <c r="N51" i="1" s="1"/>
  <c r="P51" i="1" a="1"/>
  <c r="P51" i="1" s="1"/>
  <c r="L52" i="1" a="1"/>
  <c r="L52" i="1" s="1"/>
  <c r="M52" i="1" a="1"/>
  <c r="M52" i="1" s="1"/>
  <c r="N52" i="1" a="1"/>
  <c r="N52" i="1" s="1"/>
  <c r="P52" i="1" a="1"/>
  <c r="P52" i="1" s="1"/>
  <c r="L53" i="1" a="1"/>
  <c r="L53" i="1" s="1"/>
  <c r="M53" i="1" a="1"/>
  <c r="M53" i="1"/>
  <c r="N53" i="1" a="1"/>
  <c r="N53" i="1" s="1"/>
  <c r="P53" i="1" a="1"/>
  <c r="P53" i="1" s="1"/>
  <c r="L54" i="1" a="1"/>
  <c r="L54" i="1" s="1"/>
  <c r="M54" i="1" a="1"/>
  <c r="M54" i="1"/>
  <c r="N54" i="1" a="1"/>
  <c r="N54" i="1" s="1"/>
  <c r="R54" i="1" s="1"/>
  <c r="P54" i="1" a="1"/>
  <c r="P54" i="1"/>
  <c r="L55" i="1" a="1"/>
  <c r="L55" i="1" s="1"/>
  <c r="M55" i="1" a="1"/>
  <c r="M55" i="1" s="1"/>
  <c r="N55" i="1" a="1"/>
  <c r="N55" i="1" s="1"/>
  <c r="R55" i="1" s="1"/>
  <c r="P55" i="1" a="1"/>
  <c r="P55" i="1" s="1"/>
  <c r="L56" i="1" a="1"/>
  <c r="L56" i="1" s="1"/>
  <c r="M56" i="1" a="1"/>
  <c r="M56" i="1" s="1"/>
  <c r="N56" i="1" a="1"/>
  <c r="N56" i="1" s="1"/>
  <c r="P56" i="1" a="1"/>
  <c r="P56" i="1"/>
  <c r="Q56" i="1" s="1"/>
  <c r="L57" i="1" a="1"/>
  <c r="L57" i="1" s="1"/>
  <c r="M57" i="1" a="1"/>
  <c r="M57" i="1" s="1"/>
  <c r="Q57" i="1" s="1"/>
  <c r="N57" i="1" a="1"/>
  <c r="N57" i="1" s="1"/>
  <c r="P57" i="1" a="1"/>
  <c r="P57" i="1"/>
  <c r="L58" i="1" a="1"/>
  <c r="L58" i="1"/>
  <c r="M58" i="1" a="1"/>
  <c r="M58" i="1" s="1"/>
  <c r="N58" i="1" a="1"/>
  <c r="N58" i="1"/>
  <c r="R58" i="1" s="1"/>
  <c r="P58" i="1" a="1"/>
  <c r="P58" i="1" s="1"/>
  <c r="L59" i="1" a="1"/>
  <c r="L59" i="1"/>
  <c r="M59" i="1" a="1"/>
  <c r="M59" i="1" s="1"/>
  <c r="Q59" i="1" s="1"/>
  <c r="N59" i="1" a="1"/>
  <c r="N59" i="1" s="1"/>
  <c r="P59" i="1" a="1"/>
  <c r="P59" i="1" s="1"/>
  <c r="L60" i="1" a="1"/>
  <c r="L60" i="1" s="1"/>
  <c r="M60" i="1" a="1"/>
  <c r="M60" i="1" s="1"/>
  <c r="N60" i="1" a="1"/>
  <c r="N60" i="1" s="1"/>
  <c r="R60" i="1" s="1"/>
  <c r="P60" i="1" a="1"/>
  <c r="P60" i="1" s="1"/>
  <c r="L61" i="1" a="1"/>
  <c r="L61" i="1" s="1"/>
  <c r="M61" i="1" a="1"/>
  <c r="M61" i="1" s="1"/>
  <c r="N61" i="1" a="1"/>
  <c r="N61" i="1"/>
  <c r="P61" i="1" a="1"/>
  <c r="P61" i="1" s="1"/>
  <c r="L62" i="1" a="1"/>
  <c r="L62" i="1" s="1"/>
  <c r="M62" i="1" a="1"/>
  <c r="M62" i="1" s="1"/>
  <c r="N62" i="1" a="1"/>
  <c r="N62" i="1" s="1"/>
  <c r="P62" i="1" a="1"/>
  <c r="P62" i="1"/>
  <c r="L63" i="1" a="1"/>
  <c r="L63" i="1" s="1"/>
  <c r="M63" i="1" a="1"/>
  <c r="M63" i="1"/>
  <c r="Q63" i="1" s="1"/>
  <c r="N63" i="1" a="1"/>
  <c r="N63" i="1" s="1"/>
  <c r="P63" i="1" a="1"/>
  <c r="P63" i="1"/>
  <c r="L64" i="1" a="1"/>
  <c r="L64" i="1" s="1"/>
  <c r="M64" i="1" a="1"/>
  <c r="M64" i="1" s="1"/>
  <c r="N64" i="1" a="1"/>
  <c r="N64" i="1"/>
  <c r="P64" i="1" a="1"/>
  <c r="P64" i="1" s="1"/>
  <c r="L65" i="1" a="1"/>
  <c r="L65" i="1" s="1"/>
  <c r="M65" i="1" a="1"/>
  <c r="M65" i="1" s="1"/>
  <c r="Q65" i="1" s="1"/>
  <c r="N65" i="1" a="1"/>
  <c r="N65" i="1" s="1"/>
  <c r="P65" i="1" a="1"/>
  <c r="P65" i="1" s="1"/>
  <c r="L66" i="1" a="1"/>
  <c r="L66" i="1" s="1"/>
  <c r="M66" i="1" a="1"/>
  <c r="M66" i="1"/>
  <c r="N66" i="1" a="1"/>
  <c r="N66" i="1"/>
  <c r="P66" i="1" a="1"/>
  <c r="P66" i="1" s="1"/>
  <c r="Q66" i="1" s="1"/>
  <c r="L67" i="1" a="1"/>
  <c r="L67" i="1" s="1"/>
  <c r="M67" i="1" a="1"/>
  <c r="M67" i="1" s="1"/>
  <c r="N67" i="1" a="1"/>
  <c r="N67" i="1"/>
  <c r="P67" i="1" a="1"/>
  <c r="P67" i="1" s="1"/>
  <c r="L68" i="1" a="1"/>
  <c r="L68" i="1"/>
  <c r="M68" i="1" a="1"/>
  <c r="M68" i="1" s="1"/>
  <c r="N68" i="1" a="1"/>
  <c r="N68" i="1" s="1"/>
  <c r="P68" i="1" a="1"/>
  <c r="P68" i="1" s="1"/>
  <c r="L69" i="1" a="1"/>
  <c r="L69" i="1" s="1"/>
  <c r="M69" i="1" a="1"/>
  <c r="M69" i="1" s="1"/>
  <c r="N69" i="1" a="1"/>
  <c r="N69" i="1" s="1"/>
  <c r="P69" i="1" a="1"/>
  <c r="P69" i="1" s="1"/>
  <c r="R69" i="1" s="1"/>
  <c r="L70" i="1" a="1"/>
  <c r="L70" i="1" s="1"/>
  <c r="M70" i="1" a="1"/>
  <c r="M70" i="1" s="1"/>
  <c r="N70" i="1" a="1"/>
  <c r="N70" i="1" s="1"/>
  <c r="R70" i="1" s="1"/>
  <c r="P70" i="1" a="1"/>
  <c r="P70" i="1" s="1"/>
  <c r="L71" i="1" a="1"/>
  <c r="L71" i="1"/>
  <c r="M71" i="1" a="1"/>
  <c r="M71" i="1"/>
  <c r="Q71" i="1" s="1"/>
  <c r="N71" i="1" a="1"/>
  <c r="N71" i="1" s="1"/>
  <c r="P71" i="1" a="1"/>
  <c r="P71" i="1" s="1"/>
  <c r="L72" i="1" a="1"/>
  <c r="L72" i="1" s="1"/>
  <c r="M72" i="1" a="1"/>
  <c r="M72" i="1"/>
  <c r="N72" i="1" a="1"/>
  <c r="N72" i="1" s="1"/>
  <c r="R72" i="1" s="1"/>
  <c r="P72" i="1" a="1"/>
  <c r="P72" i="1"/>
  <c r="Q72" i="1" s="1"/>
  <c r="L73" i="1" a="1"/>
  <c r="L73" i="1" s="1"/>
  <c r="M73" i="1" a="1"/>
  <c r="M73" i="1" s="1"/>
  <c r="N73" i="1" a="1"/>
  <c r="N73" i="1"/>
  <c r="P73" i="1" a="1"/>
  <c r="P73" i="1" s="1"/>
  <c r="L74" i="1" a="1"/>
  <c r="L74" i="1" s="1"/>
  <c r="M74" i="1" a="1"/>
  <c r="M74" i="1" s="1"/>
  <c r="N74" i="1" a="1"/>
  <c r="N74" i="1" s="1"/>
  <c r="P74" i="1" a="1"/>
  <c r="P74" i="1" s="1"/>
  <c r="L75" i="1" a="1"/>
  <c r="L75" i="1" s="1"/>
  <c r="M75" i="1" a="1"/>
  <c r="M75" i="1" s="1"/>
  <c r="Q75" i="1" s="1"/>
  <c r="N75" i="1" a="1"/>
  <c r="N75" i="1" s="1"/>
  <c r="P75" i="1" a="1"/>
  <c r="P75" i="1"/>
  <c r="L76" i="1" a="1"/>
  <c r="L76" i="1"/>
  <c r="M76" i="1" a="1"/>
  <c r="M76" i="1" s="1"/>
  <c r="N76" i="1" a="1"/>
  <c r="N76" i="1" s="1"/>
  <c r="R76" i="1" s="1"/>
  <c r="P76" i="1" a="1"/>
  <c r="P76" i="1" s="1"/>
  <c r="L77" i="1" a="1"/>
  <c r="L77" i="1"/>
  <c r="M77" i="1" a="1"/>
  <c r="M77" i="1" s="1"/>
  <c r="Q77" i="1" s="1"/>
  <c r="N77" i="1" a="1"/>
  <c r="N77" i="1" s="1"/>
  <c r="P77" i="1" a="1"/>
  <c r="P77" i="1" s="1"/>
  <c r="L78" i="1" a="1"/>
  <c r="L78" i="1" s="1"/>
  <c r="M78" i="1" a="1"/>
  <c r="M78" i="1"/>
  <c r="N78" i="1" a="1"/>
  <c r="N78" i="1" s="1"/>
  <c r="P78" i="1" a="1"/>
  <c r="P78" i="1" s="1"/>
  <c r="Q78" i="1" s="1"/>
  <c r="L79" i="1" a="1"/>
  <c r="L79" i="1" s="1"/>
  <c r="M79" i="1" a="1"/>
  <c r="M79" i="1" s="1"/>
  <c r="N79" i="1" a="1"/>
  <c r="N79" i="1" s="1"/>
  <c r="R79" i="1" s="1"/>
  <c r="P79" i="1" a="1"/>
  <c r="P79" i="1" s="1"/>
  <c r="L80" i="1" a="1"/>
  <c r="L80" i="1" s="1"/>
  <c r="M80" i="1" a="1"/>
  <c r="M80" i="1" s="1"/>
  <c r="N80" i="1" a="1"/>
  <c r="N80" i="1" s="1"/>
  <c r="P80" i="1" a="1"/>
  <c r="P80" i="1"/>
  <c r="Q80" i="1" s="1"/>
  <c r="L81" i="1" a="1"/>
  <c r="L81" i="1" s="1"/>
  <c r="M81" i="1" a="1"/>
  <c r="M81" i="1" s="1"/>
  <c r="Q81" i="1" s="1"/>
  <c r="N81" i="1" a="1"/>
  <c r="N81" i="1" s="1"/>
  <c r="P81" i="1" a="1"/>
  <c r="P81" i="1"/>
  <c r="L82" i="1" a="1"/>
  <c r="L82" i="1" s="1"/>
  <c r="M82" i="1" a="1"/>
  <c r="M82" i="1" s="1"/>
  <c r="N82" i="1" a="1"/>
  <c r="N82" i="1"/>
  <c r="R82" i="1" s="1"/>
  <c r="P82" i="1" a="1"/>
  <c r="P82" i="1" s="1"/>
  <c r="L83" i="1" a="1"/>
  <c r="L83" i="1"/>
  <c r="M83" i="1" a="1"/>
  <c r="M83" i="1" s="1"/>
  <c r="Q83" i="1" s="1"/>
  <c r="N83" i="1" a="1"/>
  <c r="N83" i="1" s="1"/>
  <c r="P83" i="1" a="1"/>
  <c r="P83" i="1" s="1"/>
  <c r="L84" i="1" a="1"/>
  <c r="L84" i="1" s="1"/>
  <c r="M84" i="1" a="1"/>
  <c r="M84" i="1" s="1"/>
  <c r="N84" i="1" a="1"/>
  <c r="N84" i="1" s="1"/>
  <c r="P84" i="1" a="1"/>
  <c r="P84" i="1" s="1"/>
  <c r="L85" i="1" a="1"/>
  <c r="L85" i="1" s="1"/>
  <c r="M85" i="1" a="1"/>
  <c r="M85" i="1" s="1"/>
  <c r="N85" i="1" a="1"/>
  <c r="N85" i="1"/>
  <c r="P85" i="1" a="1"/>
  <c r="P85" i="1" s="1"/>
  <c r="L86" i="1" a="1"/>
  <c r="L86" i="1" s="1"/>
  <c r="M86" i="1" a="1"/>
  <c r="M86" i="1" s="1"/>
  <c r="N86" i="1" a="1"/>
  <c r="N86" i="1" s="1"/>
  <c r="P86" i="1" a="1"/>
  <c r="P86" i="1" s="1"/>
  <c r="L87" i="1" a="1"/>
  <c r="L87" i="1" s="1"/>
  <c r="M87" i="1" a="1"/>
  <c r="M87" i="1"/>
  <c r="Q87" i="1" s="1"/>
  <c r="N87" i="1" a="1"/>
  <c r="N87" i="1" s="1"/>
  <c r="P87" i="1" a="1"/>
  <c r="P87" i="1"/>
  <c r="L88" i="1" a="1"/>
  <c r="L88" i="1" s="1"/>
  <c r="M88" i="1" a="1"/>
  <c r="M88" i="1" s="1"/>
  <c r="N88" i="1" a="1"/>
  <c r="N88" i="1" s="1"/>
  <c r="R88" i="1" s="1"/>
  <c r="P88" i="1" a="1"/>
  <c r="P88" i="1" s="1"/>
  <c r="L89" i="1" a="1"/>
  <c r="L89" i="1" s="1"/>
  <c r="M89" i="1" a="1"/>
  <c r="M89" i="1" s="1"/>
  <c r="Q89" i="1" s="1"/>
  <c r="N89" i="1" a="1"/>
  <c r="N89" i="1" s="1"/>
  <c r="P89" i="1" a="1"/>
  <c r="P89" i="1" s="1"/>
  <c r="L90" i="1" a="1"/>
  <c r="L90" i="1" s="1"/>
  <c r="M90" i="1" a="1"/>
  <c r="M90" i="1"/>
  <c r="N90" i="1" a="1"/>
  <c r="N90" i="1"/>
  <c r="P90" i="1" a="1"/>
  <c r="P90" i="1" s="1"/>
  <c r="Q90" i="1" s="1"/>
  <c r="L91" i="1" a="1"/>
  <c r="L91" i="1" s="1"/>
  <c r="M91" i="1" a="1"/>
  <c r="M91" i="1" s="1"/>
  <c r="N91" i="1" a="1"/>
  <c r="N91" i="1"/>
  <c r="P91" i="1" a="1"/>
  <c r="P91" i="1" s="1"/>
  <c r="L92" i="1" a="1"/>
  <c r="L92" i="1"/>
  <c r="M92" i="1" a="1"/>
  <c r="M92" i="1" s="1"/>
  <c r="N92" i="1" a="1"/>
  <c r="N92" i="1" s="1"/>
  <c r="P92" i="1" a="1"/>
  <c r="P92" i="1" s="1"/>
  <c r="L93" i="1" a="1"/>
  <c r="L93" i="1" s="1"/>
  <c r="M93" i="1" a="1"/>
  <c r="M93" i="1" s="1"/>
  <c r="N93" i="1" a="1"/>
  <c r="N93" i="1" s="1"/>
  <c r="P93" i="1" a="1"/>
  <c r="P93" i="1" s="1"/>
  <c r="R93" i="1" s="1"/>
  <c r="L94" i="1" a="1"/>
  <c r="L94" i="1" s="1"/>
  <c r="M94" i="1" a="1"/>
  <c r="M94" i="1" s="1"/>
  <c r="N94" i="1" a="1"/>
  <c r="N94" i="1" s="1"/>
  <c r="R94" i="1" s="1"/>
  <c r="P94" i="1" a="1"/>
  <c r="P94" i="1" s="1"/>
  <c r="L95" i="1" a="1"/>
  <c r="L95" i="1"/>
  <c r="M95" i="1" a="1"/>
  <c r="M95" i="1"/>
  <c r="Q95" i="1" s="1"/>
  <c r="N95" i="1" a="1"/>
  <c r="N95" i="1" s="1"/>
  <c r="P95" i="1" a="1"/>
  <c r="P95" i="1" s="1"/>
  <c r="L96" i="1" a="1"/>
  <c r="L96" i="1" s="1"/>
  <c r="M96" i="1" a="1"/>
  <c r="M96" i="1"/>
  <c r="N96" i="1" a="1"/>
  <c r="N96" i="1" s="1"/>
  <c r="R96" i="1" s="1"/>
  <c r="P96" i="1" a="1"/>
  <c r="P96" i="1"/>
  <c r="Q96" i="1" s="1"/>
  <c r="L97" i="1" a="1"/>
  <c r="L97" i="1" s="1"/>
  <c r="M97" i="1" a="1"/>
  <c r="M97" i="1" s="1"/>
  <c r="N97" i="1" a="1"/>
  <c r="N97" i="1"/>
  <c r="P97" i="1" a="1"/>
  <c r="P97" i="1" s="1"/>
  <c r="L98" i="1" a="1"/>
  <c r="L98" i="1" s="1"/>
  <c r="M98" i="1" a="1"/>
  <c r="M98" i="1" s="1"/>
  <c r="N98" i="1" a="1"/>
  <c r="N98" i="1" s="1"/>
  <c r="P98" i="1" a="1"/>
  <c r="P98" i="1" s="1"/>
  <c r="L99" i="1" a="1"/>
  <c r="L99" i="1" s="1"/>
  <c r="M99" i="1" a="1"/>
  <c r="M99" i="1" s="1"/>
  <c r="Q99" i="1" s="1"/>
  <c r="N99" i="1" a="1"/>
  <c r="N99" i="1" s="1"/>
  <c r="P99" i="1" a="1"/>
  <c r="P99" i="1"/>
  <c r="L100" i="1" a="1"/>
  <c r="L100" i="1"/>
  <c r="M100" i="1" a="1"/>
  <c r="M100" i="1" s="1"/>
  <c r="N100" i="1" a="1"/>
  <c r="N100" i="1" s="1"/>
  <c r="R100" i="1" s="1"/>
  <c r="P100" i="1" a="1"/>
  <c r="P100" i="1" s="1"/>
  <c r="L101" i="1" a="1"/>
  <c r="L101" i="1"/>
  <c r="M101" i="1" a="1"/>
  <c r="M101" i="1" s="1"/>
  <c r="Q101" i="1" s="1"/>
  <c r="N101" i="1" a="1"/>
  <c r="N101" i="1" s="1"/>
  <c r="P101" i="1" a="1"/>
  <c r="P101" i="1" s="1"/>
  <c r="L102" i="1" a="1"/>
  <c r="L102" i="1" s="1"/>
  <c r="M102" i="1" a="1"/>
  <c r="M102" i="1"/>
  <c r="N102" i="1" a="1"/>
  <c r="N102" i="1" s="1"/>
  <c r="P102" i="1" a="1"/>
  <c r="P102" i="1" s="1"/>
  <c r="Q102" i="1" s="1"/>
  <c r="L103" i="1" a="1"/>
  <c r="L103" i="1" s="1"/>
  <c r="M103" i="1" a="1"/>
  <c r="M103" i="1" s="1"/>
  <c r="N103" i="1" a="1"/>
  <c r="N103" i="1" s="1"/>
  <c r="R103" i="1" s="1"/>
  <c r="P103" i="1" a="1"/>
  <c r="P103" i="1" s="1"/>
  <c r="L104" i="1" a="1"/>
  <c r="L104" i="1" s="1"/>
  <c r="M104" i="1" a="1"/>
  <c r="M104" i="1" s="1"/>
  <c r="N104" i="1" a="1"/>
  <c r="N104" i="1" s="1"/>
  <c r="P104" i="1" a="1"/>
  <c r="P104" i="1"/>
  <c r="Q104" i="1" s="1"/>
  <c r="L105" i="1" a="1"/>
  <c r="L105" i="1" s="1"/>
  <c r="M105" i="1" a="1"/>
  <c r="M105" i="1" s="1"/>
  <c r="Q105" i="1" s="1"/>
  <c r="N105" i="1" a="1"/>
  <c r="N105" i="1" s="1"/>
  <c r="P105" i="1" a="1"/>
  <c r="P105" i="1"/>
  <c r="L106" i="1" a="1"/>
  <c r="L106" i="1" s="1"/>
  <c r="M106" i="1" a="1"/>
  <c r="M106" i="1" s="1"/>
  <c r="N106" i="1" a="1"/>
  <c r="N106" i="1"/>
  <c r="R106" i="1" s="1"/>
  <c r="P106" i="1" a="1"/>
  <c r="P106" i="1" s="1"/>
  <c r="L107" i="1" a="1"/>
  <c r="L107" i="1"/>
  <c r="M107" i="1" a="1"/>
  <c r="M107" i="1" s="1"/>
  <c r="Q107" i="1" s="1"/>
  <c r="N107" i="1" a="1"/>
  <c r="N107" i="1" s="1"/>
  <c r="P107" i="1" a="1"/>
  <c r="P107" i="1" s="1"/>
  <c r="L108" i="1" a="1"/>
  <c r="L108" i="1" s="1"/>
  <c r="M108" i="1" a="1"/>
  <c r="M108" i="1" s="1"/>
  <c r="N108" i="1" a="1"/>
  <c r="N108" i="1" s="1"/>
  <c r="R108" i="1" s="1"/>
  <c r="P108" i="1" a="1"/>
  <c r="P108" i="1" s="1"/>
  <c r="L109" i="1" a="1"/>
  <c r="L109" i="1" s="1"/>
  <c r="M109" i="1" a="1"/>
  <c r="M109" i="1" s="1"/>
  <c r="N109" i="1" a="1"/>
  <c r="N109" i="1"/>
  <c r="P109" i="1" a="1"/>
  <c r="P109" i="1" s="1"/>
  <c r="L110" i="1" a="1"/>
  <c r="L110" i="1" s="1"/>
  <c r="M110" i="1" a="1"/>
  <c r="M110" i="1" s="1"/>
  <c r="N110" i="1" a="1"/>
  <c r="N110" i="1" s="1"/>
  <c r="P110" i="1" a="1"/>
  <c r="P110" i="1" s="1"/>
  <c r="L111" i="1" a="1"/>
  <c r="L111" i="1" s="1"/>
  <c r="M111" i="1" a="1"/>
  <c r="M111" i="1"/>
  <c r="Q111" i="1" s="1"/>
  <c r="N111" i="1" a="1"/>
  <c r="N111" i="1" s="1"/>
  <c r="P111" i="1" a="1"/>
  <c r="P111" i="1"/>
  <c r="L112" i="1" a="1"/>
  <c r="L112" i="1" s="1"/>
  <c r="M112" i="1" a="1"/>
  <c r="M112" i="1" s="1"/>
  <c r="N112" i="1" a="1"/>
  <c r="N112" i="1" s="1"/>
  <c r="R112" i="1" s="1"/>
  <c r="P112" i="1" a="1"/>
  <c r="P112" i="1" s="1"/>
  <c r="L113" i="1" a="1"/>
  <c r="L113" i="1" s="1"/>
  <c r="M113" i="1" a="1"/>
  <c r="M113" i="1" s="1"/>
  <c r="Q113" i="1" s="1"/>
  <c r="N113" i="1" a="1"/>
  <c r="N113" i="1" s="1"/>
  <c r="P113" i="1" a="1"/>
  <c r="P113" i="1" s="1"/>
  <c r="L114" i="1" a="1"/>
  <c r="L114" i="1" s="1"/>
  <c r="M114" i="1" a="1"/>
  <c r="M114" i="1"/>
  <c r="N114" i="1" a="1"/>
  <c r="N114" i="1"/>
  <c r="P114" i="1" a="1"/>
  <c r="P114" i="1" s="1"/>
  <c r="Q114" i="1" s="1"/>
  <c r="L115" i="1" a="1"/>
  <c r="L115" i="1" s="1"/>
  <c r="M115" i="1" a="1"/>
  <c r="M115" i="1" s="1"/>
  <c r="N115" i="1" a="1"/>
  <c r="N115" i="1"/>
  <c r="P115" i="1" a="1"/>
  <c r="P115" i="1" s="1"/>
  <c r="L116" i="1" a="1"/>
  <c r="L116" i="1"/>
  <c r="M116" i="1" a="1"/>
  <c r="M116" i="1" s="1"/>
  <c r="N116" i="1" a="1"/>
  <c r="N116" i="1" s="1"/>
  <c r="P116" i="1" a="1"/>
  <c r="P116" i="1" s="1"/>
  <c r="L117" i="1" a="1"/>
  <c r="L117" i="1"/>
  <c r="M117" i="1" a="1"/>
  <c r="M117" i="1"/>
  <c r="N117" i="1" a="1"/>
  <c r="N117" i="1"/>
  <c r="P117" i="1" a="1"/>
  <c r="P117" i="1" s="1"/>
  <c r="L118" i="1" a="1"/>
  <c r="L118" i="1" s="1"/>
  <c r="M118" i="1" a="1"/>
  <c r="M118" i="1"/>
  <c r="N118" i="1" a="1"/>
  <c r="N118" i="1" s="1"/>
  <c r="R118" i="1" s="1"/>
  <c r="P118" i="1" a="1"/>
  <c r="P118" i="1" s="1"/>
  <c r="Q118" i="1" s="1"/>
  <c r="L119" i="1" a="1"/>
  <c r="L119" i="1"/>
  <c r="M119" i="1" a="1"/>
  <c r="M119" i="1"/>
  <c r="N119" i="1" a="1"/>
  <c r="N119" i="1" s="1"/>
  <c r="R119" i="1" s="1"/>
  <c r="P119" i="1" a="1"/>
  <c r="P119" i="1"/>
  <c r="L120" i="1" a="1"/>
  <c r="L120" i="1" s="1"/>
  <c r="M120" i="1" a="1"/>
  <c r="M120" i="1" s="1"/>
  <c r="Q120" i="1" s="1"/>
  <c r="N120" i="1" a="1"/>
  <c r="N120" i="1" s="1"/>
  <c r="R120" i="1" s="1"/>
  <c r="P120" i="1" a="1"/>
  <c r="P120" i="1"/>
  <c r="L121" i="1" a="1"/>
  <c r="L121" i="1" s="1"/>
  <c r="M121" i="1" a="1"/>
  <c r="M121" i="1" s="1"/>
  <c r="N121" i="1" a="1"/>
  <c r="N121" i="1"/>
  <c r="R121" i="1" s="1"/>
  <c r="P121" i="1" a="1"/>
  <c r="P121" i="1"/>
  <c r="L122" i="1" a="1"/>
  <c r="L122" i="1" s="1"/>
  <c r="M122" i="1" a="1"/>
  <c r="M122" i="1"/>
  <c r="N122" i="1" a="1"/>
  <c r="N122" i="1"/>
  <c r="P122" i="1" a="1"/>
  <c r="P122" i="1"/>
  <c r="L123" i="1" a="1"/>
  <c r="L123" i="1"/>
  <c r="M123" i="1" a="1"/>
  <c r="M123" i="1" s="1"/>
  <c r="Q123" i="1" s="1"/>
  <c r="N123" i="1" a="1"/>
  <c r="N123" i="1"/>
  <c r="P123" i="1" a="1"/>
  <c r="P123" i="1"/>
  <c r="L124" i="1" a="1"/>
  <c r="L124" i="1"/>
  <c r="M124" i="1" a="1"/>
  <c r="M124" i="1"/>
  <c r="Q124" i="1" s="1"/>
  <c r="N124" i="1" a="1"/>
  <c r="N124" i="1" s="1"/>
  <c r="R124" i="1" s="1"/>
  <c r="P124" i="1" a="1"/>
  <c r="P124" i="1"/>
  <c r="L125" i="1" a="1"/>
  <c r="L125" i="1"/>
  <c r="M125" i="1" a="1"/>
  <c r="M125" i="1"/>
  <c r="N125" i="1" a="1"/>
  <c r="N125" i="1"/>
  <c r="P125" i="1" a="1"/>
  <c r="P125" i="1"/>
  <c r="L126" i="1" a="1"/>
  <c r="L126" i="1"/>
  <c r="M126" i="1" a="1"/>
  <c r="M126" i="1"/>
  <c r="N126" i="1" a="1"/>
  <c r="N126" i="1"/>
  <c r="P126" i="1" a="1"/>
  <c r="P126" i="1" s="1"/>
  <c r="L127" i="1" a="1"/>
  <c r="L127" i="1"/>
  <c r="M127" i="1" a="1"/>
  <c r="M127" i="1"/>
  <c r="N127" i="1" a="1"/>
  <c r="N127" i="1"/>
  <c r="R127" i="1" s="1"/>
  <c r="P127" i="1" a="1"/>
  <c r="P127" i="1"/>
  <c r="L128" i="1" a="1"/>
  <c r="L128" i="1" s="1"/>
  <c r="M128" i="1" a="1"/>
  <c r="M128" i="1"/>
  <c r="N128" i="1" a="1"/>
  <c r="N128" i="1"/>
  <c r="P128" i="1" a="1"/>
  <c r="P128" i="1"/>
  <c r="L129" i="1" a="1"/>
  <c r="L129" i="1"/>
  <c r="M129" i="1" a="1"/>
  <c r="M129" i="1" s="1"/>
  <c r="Q129" i="1" s="1"/>
  <c r="N129" i="1" a="1"/>
  <c r="N129" i="1"/>
  <c r="P129" i="1" a="1"/>
  <c r="P129" i="1"/>
  <c r="L130" i="1" a="1"/>
  <c r="L130" i="1"/>
  <c r="M130" i="1" a="1"/>
  <c r="M130" i="1"/>
  <c r="Q130" i="1" s="1"/>
  <c r="N130" i="1" a="1"/>
  <c r="N130" i="1" s="1"/>
  <c r="R130" i="1" s="1"/>
  <c r="P130" i="1" a="1"/>
  <c r="P130" i="1"/>
  <c r="L131" i="1" a="1"/>
  <c r="L131" i="1"/>
  <c r="M131" i="1" a="1"/>
  <c r="M131" i="1"/>
  <c r="N131" i="1" a="1"/>
  <c r="N131" i="1"/>
  <c r="P131" i="1" a="1"/>
  <c r="P131" i="1"/>
  <c r="L132" i="1" a="1"/>
  <c r="L132" i="1"/>
  <c r="M132" i="1" a="1"/>
  <c r="M132" i="1"/>
  <c r="Q132" i="1" s="1"/>
  <c r="N132" i="1" a="1"/>
  <c r="N132" i="1"/>
  <c r="P132" i="1" a="1"/>
  <c r="P132" i="1" s="1"/>
  <c r="L133" i="1" a="1"/>
  <c r="L133" i="1" s="1"/>
  <c r="M133" i="1" a="1"/>
  <c r="M133" i="1"/>
  <c r="N133" i="1" a="1"/>
  <c r="N133" i="1"/>
  <c r="R133" i="1" s="1"/>
  <c r="P133" i="1" a="1"/>
  <c r="P133" i="1"/>
  <c r="L134" i="1" a="1"/>
  <c r="L134" i="1" s="1"/>
  <c r="M134" i="1" a="1"/>
  <c r="M134" i="1" s="1"/>
  <c r="Q134" i="1" s="1"/>
  <c r="N134" i="1" a="1"/>
  <c r="N134" i="1"/>
  <c r="P134" i="1" a="1"/>
  <c r="P134" i="1"/>
  <c r="L135" i="1" a="1"/>
  <c r="L135" i="1"/>
  <c r="M135" i="1" a="1"/>
  <c r="M135" i="1" s="1"/>
  <c r="Q135" i="1" s="1"/>
  <c r="N135" i="1" a="1"/>
  <c r="N135" i="1" s="1"/>
  <c r="R135" i="1" s="1"/>
  <c r="P135" i="1" a="1"/>
  <c r="P135" i="1"/>
  <c r="L136" i="1" a="1"/>
  <c r="L136" i="1"/>
  <c r="M136" i="1" a="1"/>
  <c r="M136" i="1"/>
  <c r="Q136" i="1" s="1"/>
  <c r="N136" i="1" a="1"/>
  <c r="N136" i="1" s="1"/>
  <c r="R136" i="1" s="1"/>
  <c r="P136" i="1" a="1"/>
  <c r="P136" i="1"/>
  <c r="L137" i="1" a="1"/>
  <c r="L137" i="1"/>
  <c r="M137" i="1" a="1"/>
  <c r="M137" i="1"/>
  <c r="N137" i="1" a="1"/>
  <c r="N137" i="1"/>
  <c r="P137" i="1" a="1"/>
  <c r="P137" i="1" s="1"/>
  <c r="L138" i="1" a="1"/>
  <c r="L138" i="1"/>
  <c r="M138" i="1" a="1"/>
  <c r="M138" i="1"/>
  <c r="N138" i="1" a="1"/>
  <c r="N138" i="1"/>
  <c r="P138" i="1" a="1"/>
  <c r="P138" i="1" s="1"/>
  <c r="L139" i="1" a="1"/>
  <c r="L139" i="1" s="1"/>
  <c r="M139" i="1" a="1"/>
  <c r="M139" i="1"/>
  <c r="N139" i="1" a="1"/>
  <c r="N139" i="1"/>
  <c r="R139" i="1" s="1"/>
  <c r="P139" i="1" a="1"/>
  <c r="P139" i="1"/>
  <c r="L140" i="1" a="1"/>
  <c r="L140" i="1" s="1"/>
  <c r="M140" i="1" a="1"/>
  <c r="M140" i="1" s="1"/>
  <c r="Q140" i="1" s="1"/>
  <c r="N140" i="1" a="1"/>
  <c r="N140" i="1"/>
  <c r="P140" i="1" a="1"/>
  <c r="P140" i="1"/>
  <c r="L141" i="1" a="1"/>
  <c r="L141" i="1"/>
  <c r="M141" i="1" a="1"/>
  <c r="M141" i="1" s="1"/>
  <c r="Q141" i="1" s="1"/>
  <c r="N141" i="1" a="1"/>
  <c r="N141" i="1" s="1"/>
  <c r="R141" i="1" s="1"/>
  <c r="P141" i="1" a="1"/>
  <c r="P141" i="1"/>
  <c r="L142" i="1" a="1"/>
  <c r="L142" i="1"/>
  <c r="M142" i="1" a="1"/>
  <c r="M142" i="1"/>
  <c r="Q142" i="1" s="1"/>
  <c r="N142" i="1" a="1"/>
  <c r="N142" i="1" s="1"/>
  <c r="R142" i="1" s="1"/>
  <c r="P142" i="1" a="1"/>
  <c r="P142" i="1"/>
  <c r="L143" i="1" a="1"/>
  <c r="L143" i="1"/>
  <c r="M143" i="1" a="1"/>
  <c r="M143" i="1"/>
  <c r="N143" i="1" a="1"/>
  <c r="N143" i="1"/>
  <c r="P143" i="1" a="1"/>
  <c r="P143" i="1" s="1"/>
  <c r="L144" i="1" a="1"/>
  <c r="L144" i="1"/>
  <c r="M144" i="1" a="1"/>
  <c r="M144" i="1"/>
  <c r="N144" i="1" a="1"/>
  <c r="N144" i="1"/>
  <c r="P144" i="1" a="1"/>
  <c r="P144" i="1" s="1"/>
  <c r="L145" i="1" a="1"/>
  <c r="L145" i="1" s="1"/>
  <c r="M145" i="1" a="1"/>
  <c r="M145" i="1"/>
  <c r="N145" i="1" a="1"/>
  <c r="N145" i="1"/>
  <c r="R145" i="1" s="1"/>
  <c r="P145" i="1" a="1"/>
  <c r="P145" i="1"/>
  <c r="L146" i="1" a="1"/>
  <c r="L146" i="1" s="1"/>
  <c r="M146" i="1" a="1"/>
  <c r="M146" i="1" s="1"/>
  <c r="Q146" i="1" s="1"/>
  <c r="N146" i="1" a="1"/>
  <c r="N146" i="1"/>
  <c r="P146" i="1" a="1"/>
  <c r="P146" i="1"/>
  <c r="L147" i="1" a="1"/>
  <c r="L147" i="1"/>
  <c r="M147" i="1" a="1"/>
  <c r="M147" i="1" s="1"/>
  <c r="Q147" i="1" s="1"/>
  <c r="N147" i="1" a="1"/>
  <c r="N147" i="1" s="1"/>
  <c r="R147" i="1" s="1"/>
  <c r="P147" i="1" a="1"/>
  <c r="P147" i="1"/>
  <c r="L148" i="1" a="1"/>
  <c r="L148" i="1"/>
  <c r="M148" i="1" a="1"/>
  <c r="M148" i="1"/>
  <c r="N148" i="1" a="1"/>
  <c r="N148" i="1" s="1"/>
  <c r="P148" i="1" a="1"/>
  <c r="P148" i="1" s="1"/>
  <c r="L149" i="1" a="1"/>
  <c r="L149" i="1"/>
  <c r="M149" i="1" a="1"/>
  <c r="M149" i="1"/>
  <c r="N149" i="1" a="1"/>
  <c r="N149" i="1"/>
  <c r="P149" i="1" a="1"/>
  <c r="P149" i="1" s="1"/>
  <c r="L150" i="1" a="1"/>
  <c r="L150" i="1" s="1"/>
  <c r="M150" i="1" a="1"/>
  <c r="M150" i="1"/>
  <c r="N150" i="1" a="1"/>
  <c r="N150" i="1"/>
  <c r="P150" i="1" a="1"/>
  <c r="P150" i="1" s="1"/>
  <c r="L151" i="1" a="1"/>
  <c r="L151" i="1" s="1"/>
  <c r="M151" i="1" a="1"/>
  <c r="M151" i="1" s="1"/>
  <c r="Q151" i="1" s="1"/>
  <c r="N151" i="1" a="1"/>
  <c r="N151" i="1"/>
  <c r="R151" i="1" s="1"/>
  <c r="P151" i="1" a="1"/>
  <c r="P151" i="1"/>
  <c r="L152" i="1" a="1"/>
  <c r="L152" i="1" s="1"/>
  <c r="M152" i="1" a="1"/>
  <c r="M152" i="1" s="1"/>
  <c r="Q152" i="1" s="1"/>
  <c r="N152" i="1" a="1"/>
  <c r="N152" i="1" s="1"/>
  <c r="R152" i="1" s="1"/>
  <c r="P152" i="1" a="1"/>
  <c r="P152" i="1"/>
  <c r="L153" i="1" a="1"/>
  <c r="L153" i="1"/>
  <c r="M153" i="1" a="1"/>
  <c r="M153" i="1" s="1"/>
  <c r="Q153" i="1" s="1"/>
  <c r="N153" i="1" a="1"/>
  <c r="N153" i="1" s="1"/>
  <c r="R153" i="1" s="1"/>
  <c r="P153" i="1" a="1"/>
  <c r="P153" i="1"/>
  <c r="L154" i="1" a="1"/>
  <c r="L154" i="1"/>
  <c r="M154" i="1" a="1"/>
  <c r="M154" i="1" s="1"/>
  <c r="N154" i="1" a="1"/>
  <c r="N154" i="1" s="1"/>
  <c r="P154" i="1" a="1"/>
  <c r="P154" i="1" s="1"/>
  <c r="L155" i="1" a="1"/>
  <c r="L155" i="1"/>
  <c r="M155" i="1" a="1"/>
  <c r="M155" i="1"/>
  <c r="N155" i="1" a="1"/>
  <c r="N155" i="1" s="1"/>
  <c r="P155" i="1" a="1"/>
  <c r="P155" i="1" s="1"/>
  <c r="Q155" i="1" s="1"/>
  <c r="L156" i="1" a="1"/>
  <c r="L156" i="1" s="1"/>
  <c r="M156" i="1" a="1"/>
  <c r="M156" i="1"/>
  <c r="Q156" i="1" s="1"/>
  <c r="N156" i="1" a="1"/>
  <c r="N156" i="1"/>
  <c r="R156" i="1" s="1"/>
  <c r="P156" i="1" a="1"/>
  <c r="P156" i="1" s="1"/>
  <c r="L157" i="1" a="1"/>
  <c r="L157" i="1" s="1"/>
  <c r="M157" i="1" a="1"/>
  <c r="M157" i="1" s="1"/>
  <c r="N157" i="1" a="1"/>
  <c r="N157" i="1"/>
  <c r="P157" i="1" a="1"/>
  <c r="P157" i="1" s="1"/>
  <c r="L158" i="1" a="1"/>
  <c r="L158" i="1" s="1"/>
  <c r="M158" i="1" a="1"/>
  <c r="M158" i="1" s="1"/>
  <c r="Q158" i="1" s="1"/>
  <c r="N158" i="1" a="1"/>
  <c r="N158" i="1" s="1"/>
  <c r="R158" i="1" s="1"/>
  <c r="P158" i="1" a="1"/>
  <c r="P158" i="1"/>
  <c r="L159" i="1" a="1"/>
  <c r="L159" i="1" s="1"/>
  <c r="M159" i="1" a="1"/>
  <c r="M159" i="1" s="1"/>
  <c r="Q159" i="1" s="1"/>
  <c r="N159" i="1" a="1"/>
  <c r="N159" i="1" s="1"/>
  <c r="R159" i="1" s="1"/>
  <c r="P159" i="1" a="1"/>
  <c r="P159" i="1"/>
  <c r="L160" i="1" a="1"/>
  <c r="L160" i="1"/>
  <c r="M160" i="1" a="1"/>
  <c r="M160" i="1" s="1"/>
  <c r="N160" i="1" a="1"/>
  <c r="N160" i="1" s="1"/>
  <c r="P160" i="1" a="1"/>
  <c r="P160" i="1" s="1"/>
  <c r="L161" i="1" a="1"/>
  <c r="L161" i="1"/>
  <c r="M161" i="1" a="1"/>
  <c r="M161" i="1"/>
  <c r="N161" i="1" a="1"/>
  <c r="N161" i="1" s="1"/>
  <c r="R161" i="1" s="1"/>
  <c r="P161" i="1" a="1"/>
  <c r="P161" i="1" s="1"/>
  <c r="Q161" i="1" s="1"/>
  <c r="L162" i="1" a="1"/>
  <c r="L162" i="1" s="1"/>
  <c r="M162" i="1" a="1"/>
  <c r="M162" i="1"/>
  <c r="Q162" i="1" s="1"/>
  <c r="N162" i="1" a="1"/>
  <c r="N162" i="1"/>
  <c r="R162" i="1" s="1"/>
  <c r="P162" i="1" a="1"/>
  <c r="P162" i="1" s="1"/>
  <c r="L163" i="1" a="1"/>
  <c r="L163" i="1" s="1"/>
  <c r="M163" i="1" a="1"/>
  <c r="M163" i="1" s="1"/>
  <c r="Q163" i="1" s="1"/>
  <c r="N163" i="1" a="1"/>
  <c r="N163" i="1"/>
  <c r="R163" i="1" s="1"/>
  <c r="P163" i="1" a="1"/>
  <c r="P163" i="1" s="1"/>
  <c r="L164" i="1" a="1"/>
  <c r="L164" i="1" s="1"/>
  <c r="M164" i="1" a="1"/>
  <c r="M164" i="1" s="1"/>
  <c r="Q164" i="1" s="1"/>
  <c r="N164" i="1" a="1"/>
  <c r="N164" i="1" s="1"/>
  <c r="R164" i="1" s="1"/>
  <c r="P164" i="1" a="1"/>
  <c r="P164" i="1"/>
  <c r="M14" i="1" a="1"/>
  <c r="M14" i="1" s="1"/>
  <c r="Q14" i="1" s="1"/>
  <c r="N14" i="1" a="1"/>
  <c r="N14" i="1"/>
  <c r="P14" i="1" a="1"/>
  <c r="P14" i="1"/>
  <c r="L14" i="1" a="1"/>
  <c r="L14" i="1"/>
  <c r="Q15" i="1"/>
  <c r="R15" i="1"/>
  <c r="Q16" i="1"/>
  <c r="R16" i="1"/>
  <c r="Q18" i="1"/>
  <c r="Q19" i="1"/>
  <c r="Q20" i="1"/>
  <c r="R20" i="1"/>
  <c r="Q21" i="1"/>
  <c r="R21" i="1"/>
  <c r="Q22" i="1"/>
  <c r="R22" i="1"/>
  <c r="Q23" i="1"/>
  <c r="R23" i="1"/>
  <c r="Q24" i="1"/>
  <c r="R24" i="1"/>
  <c r="Q25" i="1"/>
  <c r="R25" i="1"/>
  <c r="Q27" i="1"/>
  <c r="R27" i="1"/>
  <c r="Q28" i="1"/>
  <c r="R28" i="1"/>
  <c r="Q29" i="1"/>
  <c r="R29" i="1"/>
  <c r="Q30" i="1"/>
  <c r="R30" i="1"/>
  <c r="Q31" i="1"/>
  <c r="R31" i="1"/>
  <c r="Q33" i="1"/>
  <c r="R33" i="1"/>
  <c r="Q34" i="1"/>
  <c r="R34" i="1"/>
  <c r="R35" i="1"/>
  <c r="Q36" i="1"/>
  <c r="R37" i="1"/>
  <c r="Q38" i="1"/>
  <c r="R38" i="1"/>
  <c r="R39" i="1"/>
  <c r="Q40" i="1"/>
  <c r="R40" i="1"/>
  <c r="R41" i="1"/>
  <c r="Q42" i="1"/>
  <c r="R42" i="1"/>
  <c r="Q43" i="1"/>
  <c r="Q44" i="1"/>
  <c r="R44" i="1"/>
  <c r="Q45" i="1"/>
  <c r="R45" i="1"/>
  <c r="Q46" i="1"/>
  <c r="R46" i="1"/>
  <c r="Q48" i="1"/>
  <c r="Q49" i="1"/>
  <c r="R49" i="1"/>
  <c r="Q51" i="1"/>
  <c r="R51" i="1"/>
  <c r="Q52" i="1"/>
  <c r="R52" i="1"/>
  <c r="Q53" i="1"/>
  <c r="R53" i="1"/>
  <c r="Q54" i="1"/>
  <c r="Q55" i="1"/>
  <c r="R57" i="1"/>
  <c r="Q58" i="1"/>
  <c r="R59" i="1"/>
  <c r="Q61" i="1"/>
  <c r="R61" i="1"/>
  <c r="Q62" i="1"/>
  <c r="R62" i="1"/>
  <c r="R63" i="1"/>
  <c r="Q64" i="1"/>
  <c r="R64" i="1"/>
  <c r="R65" i="1"/>
  <c r="Q67" i="1"/>
  <c r="R67" i="1"/>
  <c r="Q70" i="1"/>
  <c r="R71" i="1"/>
  <c r="Q73" i="1"/>
  <c r="R73" i="1"/>
  <c r="R75" i="1"/>
  <c r="Q76" i="1"/>
  <c r="R77" i="1"/>
  <c r="Q79" i="1"/>
  <c r="R81" i="1"/>
  <c r="Q82" i="1"/>
  <c r="R83" i="1"/>
  <c r="Q85" i="1"/>
  <c r="R85" i="1"/>
  <c r="R87" i="1"/>
  <c r="Q88" i="1"/>
  <c r="R89" i="1"/>
  <c r="Q91" i="1"/>
  <c r="R91" i="1"/>
  <c r="Q94" i="1"/>
  <c r="R95" i="1"/>
  <c r="Q97" i="1"/>
  <c r="R97" i="1"/>
  <c r="R99" i="1"/>
  <c r="Q100" i="1"/>
  <c r="R101" i="1"/>
  <c r="Q103" i="1"/>
  <c r="R105" i="1"/>
  <c r="Q106" i="1"/>
  <c r="R107" i="1"/>
  <c r="Q109" i="1"/>
  <c r="R109" i="1"/>
  <c r="R111" i="1"/>
  <c r="Q112" i="1"/>
  <c r="R113" i="1"/>
  <c r="Q115" i="1"/>
  <c r="R115" i="1"/>
  <c r="Q119" i="1"/>
  <c r="Q121" i="1"/>
  <c r="Q122" i="1"/>
  <c r="R122" i="1"/>
  <c r="R123" i="1"/>
  <c r="Q125" i="1"/>
  <c r="R125" i="1"/>
  <c r="Q127" i="1"/>
  <c r="Q128" i="1"/>
  <c r="R128" i="1"/>
  <c r="R129" i="1"/>
  <c r="Q131" i="1"/>
  <c r="R131" i="1"/>
  <c r="Q133" i="1"/>
  <c r="R134" i="1"/>
  <c r="Q139" i="1"/>
  <c r="R140" i="1"/>
  <c r="Q145" i="1"/>
  <c r="R146" i="1"/>
  <c r="R14" i="1"/>
  <c r="J165" i="1"/>
  <c r="Q98" i="1" l="1"/>
  <c r="R98" i="1"/>
  <c r="Q86" i="1"/>
  <c r="R86" i="1"/>
  <c r="Q68" i="1"/>
  <c r="R68" i="1"/>
  <c r="Q137" i="1"/>
  <c r="R137" i="1"/>
  <c r="R114" i="1"/>
  <c r="R102" i="1"/>
  <c r="Q74" i="1"/>
  <c r="R74" i="1"/>
  <c r="R90" i="1"/>
  <c r="R78" i="1"/>
  <c r="R126" i="1"/>
  <c r="Q108" i="1"/>
  <c r="R84" i="1"/>
  <c r="R66" i="1"/>
  <c r="Q149" i="1"/>
  <c r="R149" i="1"/>
  <c r="Q92" i="1"/>
  <c r="R92" i="1"/>
  <c r="Q84" i="1"/>
  <c r="R157" i="1"/>
  <c r="R144" i="1"/>
  <c r="Q126" i="1"/>
  <c r="Q50" i="1"/>
  <c r="R50" i="1"/>
  <c r="Q32" i="1"/>
  <c r="R32" i="1"/>
  <c r="Q154" i="1"/>
  <c r="R150" i="1"/>
  <c r="Q144" i="1"/>
  <c r="R138" i="1"/>
  <c r="Q60" i="1"/>
  <c r="Q143" i="1"/>
  <c r="R143" i="1"/>
  <c r="Q110" i="1"/>
  <c r="R110" i="1"/>
  <c r="R155" i="1"/>
  <c r="Q138" i="1"/>
  <c r="R132" i="1"/>
  <c r="Q93" i="1"/>
  <c r="R154" i="1"/>
  <c r="Q117" i="1"/>
  <c r="R117" i="1"/>
  <c r="Q157" i="1"/>
  <c r="Q150" i="1"/>
  <c r="R160" i="1"/>
  <c r="R148" i="1"/>
  <c r="Q160" i="1"/>
  <c r="Q148" i="1"/>
  <c r="Q116" i="1"/>
  <c r="R116" i="1"/>
  <c r="Q69" i="1"/>
  <c r="R104" i="1"/>
  <c r="R80" i="1"/>
  <c r="R56" i="1"/>
  <c r="R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<sst xmlns="http://schemas.openxmlformats.org/spreadsheetml/2006/main" count="173" uniqueCount="172">
  <si>
    <t>#</t>
  </si>
  <si>
    <t>포켓몬</t>
  </si>
  <si>
    <t>체력</t>
  </si>
  <si>
    <t>공격</t>
  </si>
  <si>
    <t>방어</t>
  </si>
  <si>
    <t>스피드</t>
  </si>
  <si>
    <t>특수</t>
  </si>
  <si>
    <t>총합</t>
  </si>
  <si>
    <t>평균</t>
  </si>
  <si>
    <t>이상해씨</t>
  </si>
  <si>
    <t>이상해풀</t>
  </si>
  <si>
    <t>이상해꽃</t>
  </si>
  <si>
    <t>파이리</t>
  </si>
  <si>
    <t>리자드</t>
  </si>
  <si>
    <t>리자몽</t>
  </si>
  <si>
    <t>꼬부기</t>
  </si>
  <si>
    <t>어니부기</t>
  </si>
  <si>
    <t>거북왕</t>
  </si>
  <si>
    <t>캐터피</t>
  </si>
  <si>
    <t>단데기</t>
  </si>
  <si>
    <t>버터플</t>
  </si>
  <si>
    <t>뿔충이</t>
  </si>
  <si>
    <t>딱충이</t>
  </si>
  <si>
    <t>독침붕</t>
  </si>
  <si>
    <t>구구</t>
  </si>
  <si>
    <t>피죤</t>
  </si>
  <si>
    <t>피죤투</t>
  </si>
  <si>
    <t>꼬렛</t>
  </si>
  <si>
    <t>레트라</t>
  </si>
  <si>
    <t>깨비참</t>
  </si>
  <si>
    <t>깨비드릴조</t>
  </si>
  <si>
    <t>아보</t>
  </si>
  <si>
    <t>아보크</t>
  </si>
  <si>
    <t>피카츄</t>
  </si>
  <si>
    <t>라이츄</t>
  </si>
  <si>
    <t>모래두지</t>
  </si>
  <si>
    <t>고지</t>
  </si>
  <si>
    <t>니드런♀</t>
  </si>
  <si>
    <t>니드리나</t>
  </si>
  <si>
    <t>니드퀸</t>
  </si>
  <si>
    <t>니드런♂</t>
  </si>
  <si>
    <t>니드리노</t>
  </si>
  <si>
    <t>니드킹</t>
  </si>
  <si>
    <t>삐삐</t>
  </si>
  <si>
    <t>픽시</t>
  </si>
  <si>
    <t>식스테일</t>
  </si>
  <si>
    <t>나인테일</t>
  </si>
  <si>
    <t>푸린</t>
  </si>
  <si>
    <t>푸크린</t>
  </si>
  <si>
    <t>주뱃</t>
  </si>
  <si>
    <t>골뱃</t>
  </si>
  <si>
    <t>뚜벅쵸</t>
  </si>
  <si>
    <t>냄새꼬</t>
  </si>
  <si>
    <t>라플레시아</t>
  </si>
  <si>
    <t>파라스</t>
  </si>
  <si>
    <t>파라섹트</t>
  </si>
  <si>
    <t>콘팡</t>
  </si>
  <si>
    <t>도나리</t>
  </si>
  <si>
    <t>디그다</t>
  </si>
  <si>
    <t>닥트리오</t>
  </si>
  <si>
    <t>나옹</t>
  </si>
  <si>
    <t>페르시온</t>
  </si>
  <si>
    <t>고라파덕</t>
  </si>
  <si>
    <t>골덕</t>
  </si>
  <si>
    <t>망키</t>
  </si>
  <si>
    <t>성원숭</t>
  </si>
  <si>
    <t>가디</t>
  </si>
  <si>
    <t>윈디</t>
  </si>
  <si>
    <t>발챙이</t>
  </si>
  <si>
    <t>슈륙챙이</t>
  </si>
  <si>
    <t>강챙이</t>
  </si>
  <si>
    <t>캐이시</t>
  </si>
  <si>
    <t>윤겔라</t>
  </si>
  <si>
    <t>후딘</t>
  </si>
  <si>
    <t>알통몬</t>
  </si>
  <si>
    <t>근육몬</t>
  </si>
  <si>
    <t>괴력몬</t>
  </si>
  <si>
    <t>모다피</t>
  </si>
  <si>
    <t>우츠동</t>
  </si>
  <si>
    <t>우츠보트</t>
  </si>
  <si>
    <t>왕눈해</t>
  </si>
  <si>
    <t>독파리</t>
  </si>
  <si>
    <t>꼬마돌</t>
  </si>
  <si>
    <t>데구리</t>
  </si>
  <si>
    <t>딱구리</t>
  </si>
  <si>
    <t>포니타</t>
  </si>
  <si>
    <t>날쌩마</t>
  </si>
  <si>
    <t>야돈</t>
  </si>
  <si>
    <t>야도란</t>
  </si>
  <si>
    <t>코일</t>
  </si>
  <si>
    <t>레어코일</t>
  </si>
  <si>
    <t>파오리</t>
  </si>
  <si>
    <t>두두</t>
  </si>
  <si>
    <t>두트리오</t>
  </si>
  <si>
    <t>쥬쥬</t>
  </si>
  <si>
    <t>쥬레곤</t>
  </si>
  <si>
    <t>질퍽이</t>
  </si>
  <si>
    <t>질뻐기</t>
  </si>
  <si>
    <t>셀러</t>
  </si>
  <si>
    <t>파르셀</t>
  </si>
  <si>
    <t>고오스</t>
  </si>
  <si>
    <t>고우스트</t>
  </si>
  <si>
    <t>팬텀</t>
  </si>
  <si>
    <t>롱스톤</t>
  </si>
  <si>
    <t>슬리프</t>
  </si>
  <si>
    <t>슬리퍼</t>
  </si>
  <si>
    <t>크랩</t>
  </si>
  <si>
    <t>킹크랩</t>
  </si>
  <si>
    <t>찌리리공</t>
  </si>
  <si>
    <t>붐볼</t>
  </si>
  <si>
    <t>아라리</t>
  </si>
  <si>
    <t>나시</t>
  </si>
  <si>
    <t>탕구리</t>
  </si>
  <si>
    <t>텅구리</t>
  </si>
  <si>
    <t>시라소몬</t>
  </si>
  <si>
    <t>홍수몬</t>
  </si>
  <si>
    <t>내루미</t>
  </si>
  <si>
    <t>또가스</t>
  </si>
  <si>
    <t>또도가스</t>
  </si>
  <si>
    <t>뿔카노</t>
  </si>
  <si>
    <t>코뿌리</t>
  </si>
  <si>
    <t>럭키</t>
  </si>
  <si>
    <t>덩쿠리</t>
  </si>
  <si>
    <t>캥카</t>
  </si>
  <si>
    <t>쏘드라</t>
  </si>
  <si>
    <t>시드라</t>
  </si>
  <si>
    <t>콘치</t>
  </si>
  <si>
    <t>왕콘치</t>
  </si>
  <si>
    <t>별가사리</t>
  </si>
  <si>
    <t>아쿠스타</t>
  </si>
  <si>
    <t>마임맨</t>
  </si>
  <si>
    <t>스라크</t>
  </si>
  <si>
    <t>루주라</t>
  </si>
  <si>
    <t>에레브</t>
  </si>
  <si>
    <t>마그마</t>
  </si>
  <si>
    <t>쁘사이저</t>
  </si>
  <si>
    <t>켄타로스</t>
  </si>
  <si>
    <t>잉어킹</t>
  </si>
  <si>
    <t>갸라도스</t>
  </si>
  <si>
    <t>라프라스</t>
  </si>
  <si>
    <t>메타몽</t>
  </si>
  <si>
    <t>이브이</t>
  </si>
  <si>
    <t>샤미드</t>
  </si>
  <si>
    <t>쥬피썬더</t>
  </si>
  <si>
    <t>부스터</t>
  </si>
  <si>
    <t>폴리곤</t>
  </si>
  <si>
    <t>암나이트</t>
  </si>
  <si>
    <t>암스타</t>
  </si>
  <si>
    <t>투구</t>
  </si>
  <si>
    <t>투구푸스</t>
  </si>
  <si>
    <t>프테라</t>
  </si>
  <si>
    <t>잠만보</t>
  </si>
  <si>
    <t>프리져</t>
  </si>
  <si>
    <t>썬더</t>
  </si>
  <si>
    <t>파이어</t>
  </si>
  <si>
    <t>미뇽</t>
  </si>
  <si>
    <t>신뇽</t>
  </si>
  <si>
    <t>망나뇽</t>
  </si>
  <si>
    <t>뮤츠</t>
  </si>
  <si>
    <t>뮤</t>
  </si>
  <si>
    <t>크기</t>
    <phoneticPr fontId="9" type="noConversion"/>
  </si>
  <si>
    <t>운동질량</t>
    <phoneticPr fontId="9" type="noConversion"/>
  </si>
  <si>
    <t>정지질량</t>
    <phoneticPr fontId="9" type="noConversion"/>
  </si>
  <si>
    <t>상한속도</t>
  </si>
  <si>
    <t>상한속도</t>
    <phoneticPr fontId="9" type="noConversion"/>
  </si>
  <si>
    <t>기준</t>
    <phoneticPr fontId="9" type="noConversion"/>
  </si>
  <si>
    <t>등급</t>
    <phoneticPr fontId="9" type="noConversion"/>
  </si>
  <si>
    <t>10, 15, 20, 25, 30</t>
  </si>
  <si>
    <t>10, 15, 20, 25, 30</t>
    <phoneticPr fontId="9" type="noConversion"/>
  </si>
  <si>
    <t>1, 1.5 , 2, 2.5 ,3</t>
  </si>
  <si>
    <t>1, 1.5 , 2, 2.5 ,3</t>
    <phoneticPr fontId="9" type="noConversion"/>
  </si>
  <si>
    <t>50, 70, 100, 120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</si>
</sst>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rgb="FF3185D8"/>
      <name val="Arial"/>
      <family val="2"/>
    </font>
    <font>
      <sz val="27"/>
      <color rgb="FF3A3A3A"/>
      <name val="Arial"/>
      <family val="2"/>
    </font>
    <font>
      <sz val="12"/>
      <color rgb="FF111111"/>
      <name val="Arial"/>
      <family val="2"/>
    </font>
    <font>
      <b/>
      <sz val="12"/>
      <color rgb="FF111111"/>
      <name val="Arial"/>
      <family val="2"/>
    </font>
    <font>
      <b/>
      <sz val="11"/>
      <color theme="1"/>
      <name val="Arial"/>
      <family val="2"/>
    </font>
    <font>
      <b/>
      <sz val="7.5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69DC12"/>
        <bgColor indexed="64"/>
      </patternFill>
    </fill>
    <fill>
      <patternFill patternType="solid">
        <fgColor rgb="FFEFCC18"/>
        <bgColor indexed="64"/>
      </patternFill>
    </fill>
    <fill>
      <patternFill patternType="solid">
        <fgColor rgb="FFE86412"/>
        <bgColor indexed="64"/>
      </patternFill>
    </fill>
    <fill>
      <patternFill patternType="solid">
        <fgColor rgb="FFD51DAD"/>
        <bgColor indexed="64"/>
      </patternFill>
    </fill>
    <fill>
      <patternFill patternType="solid">
        <fgColor rgb="FF94EF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EE865"/>
        <bgColor indexed="64"/>
      </patternFill>
    </fill>
    <fill>
      <patternFill patternType="solid">
        <fgColor rgb="FFF5DE69"/>
        <bgColor indexed="64"/>
      </patternFill>
    </fill>
    <fill>
      <patternFill patternType="solid">
        <fgColor rgb="FFF09A65"/>
        <bgColor indexed="64"/>
      </patternFill>
    </fill>
    <fill>
      <patternFill patternType="solid">
        <fgColor rgb="FFE46CCA"/>
        <bgColor indexed="64"/>
      </patternFill>
    </fill>
  </fills>
  <borders count="10">
    <border>
      <left/>
      <right/>
      <top/>
      <bottom/>
      <diagonal/>
    </border>
    <border>
      <left style="thick">
        <color rgb="FFBEBED1"/>
      </left>
      <right style="thick">
        <color rgb="FFBEBED1"/>
      </right>
      <top style="thick">
        <color rgb="FFBEBED1"/>
      </top>
      <bottom style="thick">
        <color rgb="FFBEBED1"/>
      </bottom>
      <diagonal/>
    </border>
    <border>
      <left style="thick">
        <color rgb="FFBEBED1"/>
      </left>
      <right/>
      <top style="thick">
        <color rgb="FFBEBED1"/>
      </top>
      <bottom/>
      <diagonal/>
    </border>
    <border>
      <left/>
      <right/>
      <top style="thick">
        <color rgb="FFBEBED1"/>
      </top>
      <bottom/>
      <diagonal/>
    </border>
    <border>
      <left/>
      <right style="thick">
        <color rgb="FFBEBED1"/>
      </right>
      <top style="thick">
        <color rgb="FFBEBED1"/>
      </top>
      <bottom/>
      <diagonal/>
    </border>
    <border>
      <left style="thick">
        <color rgb="FFBEBED1"/>
      </left>
      <right/>
      <top/>
      <bottom/>
      <diagonal/>
    </border>
    <border>
      <left/>
      <right style="thick">
        <color rgb="FFBEBED1"/>
      </right>
      <top/>
      <bottom/>
      <diagonal/>
    </border>
    <border>
      <left style="thick">
        <color rgb="FFBEBED1"/>
      </left>
      <right/>
      <top/>
      <bottom style="thick">
        <color rgb="FFBEBED1"/>
      </bottom>
      <diagonal/>
    </border>
    <border>
      <left/>
      <right/>
      <top/>
      <bottom style="thick">
        <color rgb="FFBEBED1"/>
      </bottom>
      <diagonal/>
    </border>
    <border>
      <left/>
      <right style="thick">
        <color rgb="FFBEBED1"/>
      </right>
      <top/>
      <bottom style="thick">
        <color rgb="FFBEBED1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8" fillId="0" borderId="0" xfId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0" xfId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8" fillId="0" borderId="0" xfId="1" applyAlignment="1">
      <alignment horizontal="left" vertical="center" wrapText="1" indent="1"/>
    </xf>
    <xf numFmtId="0" fontId="7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8" fillId="8" borderId="0" xfId="1" applyFill="1" applyAlignment="1">
      <alignment horizontal="left" vertical="center" wrapText="1"/>
    </xf>
    <xf numFmtId="0" fontId="7" fillId="9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8" fillId="2" borderId="2" xfId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right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right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8" fillId="8" borderId="8" xfId="1" applyFill="1" applyBorder="1" applyAlignment="1">
      <alignment horizontal="left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okemon.fandom.com/ko/wiki/%EC%8B%9C%EB%93%9C%EB%9D%BC_(%ED%8F%AC%EC%BC%93%EB%AA%AC)" TargetMode="External"/><Relationship Id="rId21" Type="http://schemas.openxmlformats.org/officeDocument/2006/relationships/hyperlink" Target="https://pokemon.fandom.com/ko/wiki/%EA%B9%A8%EB%B9%84%EC%B0%B8_(%ED%8F%AC%EC%BC%93%EB%AA%AC)" TargetMode="External"/><Relationship Id="rId42" Type="http://schemas.openxmlformats.org/officeDocument/2006/relationships/hyperlink" Target="https://pokemon.fandom.com/ko/wiki/%EA%B3%A8%EB%B1%83_(%ED%8F%AC%EC%BC%93%EB%AA%AC)" TargetMode="External"/><Relationship Id="rId63" Type="http://schemas.openxmlformats.org/officeDocument/2006/relationships/hyperlink" Target="https://pokemon.fandom.com/ko/wiki/%EC%BA%90%EC%9D%B4%EC%8B%9C_(%ED%8F%AC%EC%BC%93%EB%AA%AC)" TargetMode="External"/><Relationship Id="rId84" Type="http://schemas.openxmlformats.org/officeDocument/2006/relationships/hyperlink" Target="https://pokemon.fandom.com/ko/wiki/%EB%91%90%EB%91%90_(%ED%8F%AC%EC%BC%93%EB%AA%AC)" TargetMode="External"/><Relationship Id="rId138" Type="http://schemas.openxmlformats.org/officeDocument/2006/relationships/hyperlink" Target="https://pokemon.fandom.com/ko/wiki/%EC%95%94%EB%82%98%EC%9D%B4%ED%8A%B8_(%ED%8F%AC%EC%BC%93%EB%AA%AC)" TargetMode="External"/><Relationship Id="rId107" Type="http://schemas.openxmlformats.org/officeDocument/2006/relationships/hyperlink" Target="https://pokemon.fandom.com/ko/wiki/%ED%99%8D%EC%88%98%EB%AA%AC_(%ED%8F%AC%EC%BC%93%EB%AA%AC)" TargetMode="External"/><Relationship Id="rId11" Type="http://schemas.openxmlformats.org/officeDocument/2006/relationships/hyperlink" Target="https://pokemon.fandom.com/ko/wiki/%EB%8B%A8%EB%8D%B0%EA%B8%B0_(%ED%8F%AC%EC%BC%93%EB%AA%AC)" TargetMode="External"/><Relationship Id="rId32" Type="http://schemas.openxmlformats.org/officeDocument/2006/relationships/hyperlink" Target="https://pokemon.fandom.com/ko/wiki/%EB%8B%88%EB%93%9C%EB%9F%B0%E2%99%82_(%ED%8F%AC%EC%BC%93%EB%AA%AC)" TargetMode="External"/><Relationship Id="rId53" Type="http://schemas.openxmlformats.org/officeDocument/2006/relationships/hyperlink" Target="https://pokemon.fandom.com/ko/wiki/%ED%8E%98%EB%A5%B4%EC%8B%9C%EC%98%A8_(%ED%8F%AC%EC%BC%93%EB%AA%AC)" TargetMode="External"/><Relationship Id="rId74" Type="http://schemas.openxmlformats.org/officeDocument/2006/relationships/hyperlink" Target="https://pokemon.fandom.com/ko/wiki/%EA%BC%AC%EB%A7%88%EB%8F%8C_(%ED%8F%AC%EC%BC%93%EB%AA%AC)" TargetMode="External"/><Relationship Id="rId128" Type="http://schemas.openxmlformats.org/officeDocument/2006/relationships/hyperlink" Target="https://pokemon.fandom.com/ko/wiki/%EC%BC%84%ED%83%80%EB%A1%9C%EC%8A%A4_(%ED%8F%AC%EC%BC%93%EB%AA%AC)" TargetMode="External"/><Relationship Id="rId149" Type="http://schemas.openxmlformats.org/officeDocument/2006/relationships/hyperlink" Target="https://pokemon.fandom.com/ko/wiki/%EB%A7%9D%EB%82%98%EB%87%BD_(%ED%8F%AC%EC%BC%93%EB%AA%AC)" TargetMode="External"/><Relationship Id="rId5" Type="http://schemas.openxmlformats.org/officeDocument/2006/relationships/hyperlink" Target="https://pokemon.fandom.com/ko/wiki/%EB%A6%AC%EC%9E%90%EB%93%9C_(%ED%8F%AC%EC%BC%93%EB%AA%AC)" TargetMode="External"/><Relationship Id="rId95" Type="http://schemas.openxmlformats.org/officeDocument/2006/relationships/hyperlink" Target="https://pokemon.fandom.com/ko/wiki/%EB%A1%B1%EC%8A%A4%ED%86%A4_(%ED%8F%AC%EC%BC%93%EB%AA%AC)" TargetMode="External"/><Relationship Id="rId22" Type="http://schemas.openxmlformats.org/officeDocument/2006/relationships/hyperlink" Target="https://pokemon.fandom.com/ko/wiki/%EA%B9%A8%EB%B9%84%EB%93%9C%EB%A6%B4%EC%A1%B0_(%ED%8F%AC%EC%BC%93%EB%AA%AC)" TargetMode="External"/><Relationship Id="rId27" Type="http://schemas.openxmlformats.org/officeDocument/2006/relationships/hyperlink" Target="https://pokemon.fandom.com/ko/wiki/%EB%AA%A8%EB%9E%98%EB%91%90%EC%A7%80_(%ED%8F%AC%EC%BC%93%EB%AA%AC)" TargetMode="External"/><Relationship Id="rId43" Type="http://schemas.openxmlformats.org/officeDocument/2006/relationships/hyperlink" Target="https://pokemon.fandom.com/ko/wiki/%EB%9A%9C%EB%B2%85%EC%B5%B8_(%ED%8F%AC%EC%BC%93%EB%AA%AC)" TargetMode="External"/><Relationship Id="rId48" Type="http://schemas.openxmlformats.org/officeDocument/2006/relationships/hyperlink" Target="https://pokemon.fandom.com/ko/wiki/%EC%BD%98%ED%8C%A1_(%ED%8F%AC%EC%BC%93%EB%AA%AC)" TargetMode="External"/><Relationship Id="rId64" Type="http://schemas.openxmlformats.org/officeDocument/2006/relationships/hyperlink" Target="https://pokemon.fandom.com/ko/wiki/%EC%9C%A4%EA%B2%94%EB%9D%BC_(%ED%8F%AC%EC%BC%93%EB%AA%AC)" TargetMode="External"/><Relationship Id="rId69" Type="http://schemas.openxmlformats.org/officeDocument/2006/relationships/hyperlink" Target="https://pokemon.fandom.com/ko/wiki/%EB%AA%A8%EB%8B%A4%ED%94%BC_(%ED%8F%AC%EC%BC%93%EB%AA%AC)" TargetMode="External"/><Relationship Id="rId113" Type="http://schemas.openxmlformats.org/officeDocument/2006/relationships/hyperlink" Target="https://pokemon.fandom.com/ko/wiki/%EB%9F%AD%ED%82%A4_(%ED%8F%AC%EC%BC%93%EB%AA%AC)" TargetMode="External"/><Relationship Id="rId118" Type="http://schemas.openxmlformats.org/officeDocument/2006/relationships/hyperlink" Target="https://pokemon.fandom.com/ko/wiki/%EC%BD%98%EC%B9%98_(%ED%8F%AC%EC%BC%93%EB%AA%AC)" TargetMode="External"/><Relationship Id="rId134" Type="http://schemas.openxmlformats.org/officeDocument/2006/relationships/hyperlink" Target="https://pokemon.fandom.com/ko/wiki/%EC%83%A4%EB%AF%B8%EB%93%9C_(%ED%8F%AC%EC%BC%93%EB%AA%AC)" TargetMode="External"/><Relationship Id="rId139" Type="http://schemas.openxmlformats.org/officeDocument/2006/relationships/hyperlink" Target="https://pokemon.fandom.com/ko/wiki/%EC%95%94%EC%8A%A4%ED%83%80_(%ED%8F%AC%EC%BC%93%EB%AA%AC)" TargetMode="External"/><Relationship Id="rId80" Type="http://schemas.openxmlformats.org/officeDocument/2006/relationships/hyperlink" Target="https://pokemon.fandom.com/ko/wiki/%EC%95%BC%EB%8F%84%EB%9E%80_(%ED%8F%AC%EC%BC%93%EB%AA%AC)" TargetMode="External"/><Relationship Id="rId85" Type="http://schemas.openxmlformats.org/officeDocument/2006/relationships/hyperlink" Target="https://pokemon.fandom.com/ko/wiki/%EB%91%90%ED%8A%B8%EB%A6%AC%EC%98%A4_(%ED%8F%AC%EC%BC%93%EB%AA%AC)" TargetMode="External"/><Relationship Id="rId150" Type="http://schemas.openxmlformats.org/officeDocument/2006/relationships/hyperlink" Target="https://pokemon.fandom.com/ko/wiki/%EB%AE%A4%EC%B8%A0_(%ED%8F%AC%EC%BC%93%EB%AA%AC)" TargetMode="External"/><Relationship Id="rId12" Type="http://schemas.openxmlformats.org/officeDocument/2006/relationships/hyperlink" Target="https://pokemon.fandom.com/ko/wiki/%EB%B2%84%ED%84%B0%ED%94%8C_(%ED%8F%AC%EC%BC%93%EB%AA%AC)" TargetMode="External"/><Relationship Id="rId17" Type="http://schemas.openxmlformats.org/officeDocument/2006/relationships/hyperlink" Target="https://pokemon.fandom.com/ko/wiki/%ED%94%BC%EC%A3%A4_(%ED%8F%AC%EC%BC%93%EB%AA%AC)" TargetMode="External"/><Relationship Id="rId33" Type="http://schemas.openxmlformats.org/officeDocument/2006/relationships/hyperlink" Target="https://pokemon.fandom.com/ko/wiki/%EB%8B%88%EB%93%9C%EB%A6%AC%EB%85%B8_(%ED%8F%AC%EC%BC%93%EB%AA%AC)" TargetMode="External"/><Relationship Id="rId38" Type="http://schemas.openxmlformats.org/officeDocument/2006/relationships/hyperlink" Target="https://pokemon.fandom.com/ko/wiki/%EB%82%98%EC%9D%B8%ED%85%8C%EC%9D%BC_(%ED%8F%AC%EC%BC%93%EB%AA%AC)" TargetMode="External"/><Relationship Id="rId59" Type="http://schemas.openxmlformats.org/officeDocument/2006/relationships/hyperlink" Target="https://pokemon.fandom.com/ko/wiki/%EC%9C%88%EB%94%94_(%ED%8F%AC%EC%BC%93%EB%AA%AC)" TargetMode="External"/><Relationship Id="rId103" Type="http://schemas.openxmlformats.org/officeDocument/2006/relationships/hyperlink" Target="https://pokemon.fandom.com/ko/wiki/%EB%82%98%EC%8B%9C_(%ED%8F%AC%EC%BC%93%EB%AA%AC)" TargetMode="External"/><Relationship Id="rId108" Type="http://schemas.openxmlformats.org/officeDocument/2006/relationships/hyperlink" Target="https://pokemon.fandom.com/ko/wiki/%EB%82%B4%EB%A3%A8%EB%AF%B8_(%ED%8F%AC%EC%BC%93%EB%AA%AC)" TargetMode="External"/><Relationship Id="rId124" Type="http://schemas.openxmlformats.org/officeDocument/2006/relationships/hyperlink" Target="https://pokemon.fandom.com/ko/wiki/%EB%A3%A8%EC%A3%BC%EB%9D%BC_(%ED%8F%AC%EC%BC%93%EB%AA%AC)" TargetMode="External"/><Relationship Id="rId129" Type="http://schemas.openxmlformats.org/officeDocument/2006/relationships/hyperlink" Target="https://pokemon.fandom.com/ko/wiki/%EC%9E%89%EC%96%B4%ED%82%B9_(%ED%8F%AC%EC%BC%93%EB%AA%AC)" TargetMode="External"/><Relationship Id="rId54" Type="http://schemas.openxmlformats.org/officeDocument/2006/relationships/hyperlink" Target="https://pokemon.fandom.com/ko/wiki/%EA%B3%A0%EB%9D%BC%ED%8C%8C%EB%8D%95_(%ED%8F%AC%EC%BC%93%EB%AA%AC)" TargetMode="External"/><Relationship Id="rId70" Type="http://schemas.openxmlformats.org/officeDocument/2006/relationships/hyperlink" Target="https://pokemon.fandom.com/ko/wiki/%EC%9A%B0%EC%B8%A0%EB%8F%99_(%ED%8F%AC%EC%BC%93%EB%AA%AC)" TargetMode="External"/><Relationship Id="rId75" Type="http://schemas.openxmlformats.org/officeDocument/2006/relationships/hyperlink" Target="https://pokemon.fandom.com/ko/wiki/%EB%8D%B0%EA%B5%AC%EB%A6%AC_(%ED%8F%AC%EC%BC%93%EB%AA%AC)" TargetMode="External"/><Relationship Id="rId91" Type="http://schemas.openxmlformats.org/officeDocument/2006/relationships/hyperlink" Target="https://pokemon.fandom.com/ko/wiki/%ED%8C%8C%EB%A5%B4%EC%85%80_(%ED%8F%AC%EC%BC%93%EB%AA%AC)" TargetMode="External"/><Relationship Id="rId96" Type="http://schemas.openxmlformats.org/officeDocument/2006/relationships/hyperlink" Target="https://pokemon.fandom.com/ko/wiki/%EC%8A%AC%EB%A6%AC%ED%94%84_(%ED%8F%AC%EC%BC%93%EB%AA%AC)" TargetMode="External"/><Relationship Id="rId140" Type="http://schemas.openxmlformats.org/officeDocument/2006/relationships/hyperlink" Target="https://pokemon.fandom.com/ko/wiki/%ED%88%AC%EA%B5%AC_(%ED%8F%AC%EC%BC%93%EB%AA%AC)" TargetMode="External"/><Relationship Id="rId145" Type="http://schemas.openxmlformats.org/officeDocument/2006/relationships/hyperlink" Target="https://pokemon.fandom.com/ko/wiki/%EC%8D%AC%EB%8D%94_(%ED%8F%AC%EC%BC%93%EB%AA%AC)" TargetMode="External"/><Relationship Id="rId1" Type="http://schemas.openxmlformats.org/officeDocument/2006/relationships/hyperlink" Target="https://pokemon.fandom.com/ko/wiki/%EC%9D%B4%EC%83%81%ED%95%B4%EC%94%A8_(%ED%8F%AC%EC%BC%93%EB%AA%AC)" TargetMode="External"/><Relationship Id="rId6" Type="http://schemas.openxmlformats.org/officeDocument/2006/relationships/hyperlink" Target="https://pokemon.fandom.com/ko/wiki/%EB%A6%AC%EC%9E%90%EB%AA%BD_(%ED%8F%AC%EC%BC%93%EB%AA%AC)" TargetMode="External"/><Relationship Id="rId23" Type="http://schemas.openxmlformats.org/officeDocument/2006/relationships/hyperlink" Target="https://pokemon.fandom.com/ko/wiki/%EC%95%84%EB%B3%B4_(%ED%8F%AC%EC%BC%93%EB%AA%AC)" TargetMode="External"/><Relationship Id="rId28" Type="http://schemas.openxmlformats.org/officeDocument/2006/relationships/hyperlink" Target="https://pokemon.fandom.com/ko/wiki/%EA%B3%A0%EC%A7%80_(%ED%8F%AC%EC%BC%93%EB%AA%AC)" TargetMode="External"/><Relationship Id="rId49" Type="http://schemas.openxmlformats.org/officeDocument/2006/relationships/hyperlink" Target="https://pokemon.fandom.com/ko/wiki/%EB%8F%84%EB%82%98%EB%A6%AC_(%ED%8F%AC%EC%BC%93%EB%AA%AC)" TargetMode="External"/><Relationship Id="rId114" Type="http://schemas.openxmlformats.org/officeDocument/2006/relationships/hyperlink" Target="https://pokemon.fandom.com/ko/wiki/%EB%8D%A9%EC%BF%A0%EB%A6%AC_(%ED%8F%AC%EC%BC%93%EB%AA%AC)" TargetMode="External"/><Relationship Id="rId119" Type="http://schemas.openxmlformats.org/officeDocument/2006/relationships/hyperlink" Target="https://pokemon.fandom.com/ko/wiki/%EC%99%95%EC%BD%98%EC%B9%98_(%ED%8F%AC%EC%BC%93%EB%AA%AC)" TargetMode="External"/><Relationship Id="rId44" Type="http://schemas.openxmlformats.org/officeDocument/2006/relationships/hyperlink" Target="https://pokemon.fandom.com/ko/wiki/%EB%83%84%EC%83%88%EA%BC%AC_(%ED%8F%AC%EC%BC%93%EB%AA%AC)" TargetMode="External"/><Relationship Id="rId60" Type="http://schemas.openxmlformats.org/officeDocument/2006/relationships/hyperlink" Target="https://pokemon.fandom.com/ko/wiki/%EB%B0%9C%EC%B1%99%EC%9D%B4_(%ED%8F%AC%EC%BC%93%EB%AA%AC)" TargetMode="External"/><Relationship Id="rId65" Type="http://schemas.openxmlformats.org/officeDocument/2006/relationships/hyperlink" Target="https://pokemon.fandom.com/ko/wiki/%ED%9B%84%EB%94%98_(%ED%8F%AC%EC%BC%93%EB%AA%AC)" TargetMode="External"/><Relationship Id="rId81" Type="http://schemas.openxmlformats.org/officeDocument/2006/relationships/hyperlink" Target="https://pokemon.fandom.com/ko/wiki/%EC%BD%94%EC%9D%BC_(%ED%8F%AC%EC%BC%93%EB%AA%AC)" TargetMode="External"/><Relationship Id="rId86" Type="http://schemas.openxmlformats.org/officeDocument/2006/relationships/hyperlink" Target="https://pokemon.fandom.com/ko/wiki/%EC%A5%AC%EC%A5%AC_(%ED%8F%AC%EC%BC%93%EB%AA%AC)" TargetMode="External"/><Relationship Id="rId130" Type="http://schemas.openxmlformats.org/officeDocument/2006/relationships/hyperlink" Target="https://pokemon.fandom.com/ko/wiki/%EA%B0%B8%EB%9D%BC%EB%8F%84%EC%8A%A4_(%ED%8F%AC%EC%BC%93%EB%AA%AC)" TargetMode="External"/><Relationship Id="rId135" Type="http://schemas.openxmlformats.org/officeDocument/2006/relationships/hyperlink" Target="https://pokemon.fandom.com/ko/wiki/%EC%A5%AC%ED%94%BC%EC%8D%AC%EB%8D%94_(%ED%8F%AC%EC%BC%93%EB%AA%AC)" TargetMode="External"/><Relationship Id="rId151" Type="http://schemas.openxmlformats.org/officeDocument/2006/relationships/hyperlink" Target="https://pokemon.fandom.com/ko/wiki/%EB%AE%A4_(%ED%8F%AC%EC%BC%93%EB%AA%AC)" TargetMode="External"/><Relationship Id="rId13" Type="http://schemas.openxmlformats.org/officeDocument/2006/relationships/hyperlink" Target="https://pokemon.fandom.com/ko/wiki/%EB%BF%94%EC%B6%A9%EC%9D%B4_(%ED%8F%AC%EC%BC%93%EB%AA%AC)" TargetMode="External"/><Relationship Id="rId18" Type="http://schemas.openxmlformats.org/officeDocument/2006/relationships/hyperlink" Target="https://pokemon.fandom.com/ko/wiki/%ED%94%BC%EC%A3%A4%ED%88%AC_(%ED%8F%AC%EC%BC%93%EB%AA%AC)" TargetMode="External"/><Relationship Id="rId39" Type="http://schemas.openxmlformats.org/officeDocument/2006/relationships/hyperlink" Target="https://pokemon.fandom.com/ko/wiki/%ED%91%B8%EB%A6%B0_(%ED%8F%AC%EC%BC%93%EB%AA%AC)" TargetMode="External"/><Relationship Id="rId109" Type="http://schemas.openxmlformats.org/officeDocument/2006/relationships/hyperlink" Target="https://pokemon.fandom.com/ko/wiki/%EB%98%90%EA%B0%80%EC%8A%A4_(%ED%8F%AC%EC%BC%93%EB%AA%AC)" TargetMode="External"/><Relationship Id="rId34" Type="http://schemas.openxmlformats.org/officeDocument/2006/relationships/hyperlink" Target="https://pokemon.fandom.com/ko/wiki/%EB%8B%88%EB%93%9C%ED%82%B9_(%ED%8F%AC%EC%BC%93%EB%AA%AC)" TargetMode="External"/><Relationship Id="rId50" Type="http://schemas.openxmlformats.org/officeDocument/2006/relationships/hyperlink" Target="https://pokemon.fandom.com/ko/wiki/%EB%94%94%EA%B7%B8%EB%8B%A4_(%ED%8F%AC%EC%BC%93%EB%AA%AC)" TargetMode="External"/><Relationship Id="rId55" Type="http://schemas.openxmlformats.org/officeDocument/2006/relationships/hyperlink" Target="https://pokemon.fandom.com/ko/wiki/%EA%B3%A8%EB%8D%95_(%ED%8F%AC%EC%BC%93%EB%AA%AC)" TargetMode="External"/><Relationship Id="rId76" Type="http://schemas.openxmlformats.org/officeDocument/2006/relationships/hyperlink" Target="https://pokemon.fandom.com/ko/wiki/%EB%94%B1%EA%B5%AC%EB%A6%AC_(%ED%8F%AC%EC%BC%93%EB%AA%AC)" TargetMode="External"/><Relationship Id="rId97" Type="http://schemas.openxmlformats.org/officeDocument/2006/relationships/hyperlink" Target="https://pokemon.fandom.com/ko/wiki/%EC%8A%AC%EB%A6%AC%ED%8D%BC_(%ED%8F%AC%EC%BC%93%EB%AA%AC)" TargetMode="External"/><Relationship Id="rId104" Type="http://schemas.openxmlformats.org/officeDocument/2006/relationships/hyperlink" Target="https://pokemon.fandom.com/ko/wiki/%ED%83%95%EA%B5%AC%EB%A6%AC_(%ED%8F%AC%EC%BC%93%EB%AA%AC)" TargetMode="External"/><Relationship Id="rId120" Type="http://schemas.openxmlformats.org/officeDocument/2006/relationships/hyperlink" Target="https://pokemon.fandom.com/ko/wiki/%EB%B3%84%EA%B0%80%EC%82%AC%EB%A6%AC_(%ED%8F%AC%EC%BC%93%EB%AA%AC)" TargetMode="External"/><Relationship Id="rId125" Type="http://schemas.openxmlformats.org/officeDocument/2006/relationships/hyperlink" Target="https://pokemon.fandom.com/ko/wiki/%EC%97%90%EB%A0%88%EB%B8%8C_(%ED%8F%AC%EC%BC%93%EB%AA%AC)" TargetMode="External"/><Relationship Id="rId141" Type="http://schemas.openxmlformats.org/officeDocument/2006/relationships/hyperlink" Target="https://pokemon.fandom.com/ko/wiki/%ED%88%AC%EA%B5%AC%ED%91%B8%EC%8A%A4_(%ED%8F%AC%EC%BC%93%EB%AA%AC)" TargetMode="External"/><Relationship Id="rId146" Type="http://schemas.openxmlformats.org/officeDocument/2006/relationships/hyperlink" Target="https://pokemon.fandom.com/ko/wiki/%ED%8C%8C%EC%9D%B4%EC%96%B4_(%ED%8F%AC%EC%BC%93%EB%AA%AC)" TargetMode="External"/><Relationship Id="rId7" Type="http://schemas.openxmlformats.org/officeDocument/2006/relationships/hyperlink" Target="https://pokemon.fandom.com/ko/wiki/%EA%BC%AC%EB%B6%80%EA%B8%B0_(%ED%8F%AC%EC%BC%93%EB%AA%AC)" TargetMode="External"/><Relationship Id="rId71" Type="http://schemas.openxmlformats.org/officeDocument/2006/relationships/hyperlink" Target="https://pokemon.fandom.com/ko/wiki/%EC%9A%B0%EC%B8%A0%EB%B3%B4%ED%8A%B8_(%ED%8F%AC%EC%BC%93%EB%AA%AC)" TargetMode="External"/><Relationship Id="rId92" Type="http://schemas.openxmlformats.org/officeDocument/2006/relationships/hyperlink" Target="https://pokemon.fandom.com/ko/wiki/%EA%B3%A0%EC%98%A4%EC%8A%A4_(%ED%8F%AC%EC%BC%93%EB%AA%AC)" TargetMode="External"/><Relationship Id="rId2" Type="http://schemas.openxmlformats.org/officeDocument/2006/relationships/hyperlink" Target="https://pokemon.fandom.com/ko/wiki/%EC%9D%B4%EC%83%81%ED%95%B4%ED%92%80_(%ED%8F%AC%EC%BC%93%EB%AA%AC)" TargetMode="External"/><Relationship Id="rId29" Type="http://schemas.openxmlformats.org/officeDocument/2006/relationships/hyperlink" Target="https://pokemon.fandom.com/ko/wiki/%EB%8B%88%EB%93%9C%EB%9F%B0%E2%99%80_(%ED%8F%AC%EC%BC%93%EB%AA%AC)" TargetMode="External"/><Relationship Id="rId24" Type="http://schemas.openxmlformats.org/officeDocument/2006/relationships/hyperlink" Target="https://pokemon.fandom.com/ko/wiki/%EC%95%84%EB%B3%B4%ED%81%AC_(%ED%8F%AC%EC%BC%93%EB%AA%AC)" TargetMode="External"/><Relationship Id="rId40" Type="http://schemas.openxmlformats.org/officeDocument/2006/relationships/hyperlink" Target="https://pokemon.fandom.com/ko/wiki/%ED%91%B8%ED%81%AC%EB%A6%B0_(%ED%8F%AC%EC%BC%93%EB%AA%AC)" TargetMode="External"/><Relationship Id="rId45" Type="http://schemas.openxmlformats.org/officeDocument/2006/relationships/hyperlink" Target="https://pokemon.fandom.com/ko/wiki/%EB%9D%BC%ED%94%8C%EB%A0%88%EC%8B%9C%EC%95%84_(%ED%8F%AC%EC%BC%93%EB%AA%AC)" TargetMode="External"/><Relationship Id="rId66" Type="http://schemas.openxmlformats.org/officeDocument/2006/relationships/hyperlink" Target="https://pokemon.fandom.com/ko/wiki/%EC%95%8C%ED%86%B5%EB%AA%AC_(%ED%8F%AC%EC%BC%93%EB%AA%AC)" TargetMode="External"/><Relationship Id="rId87" Type="http://schemas.openxmlformats.org/officeDocument/2006/relationships/hyperlink" Target="https://pokemon.fandom.com/ko/wiki/%EC%A5%AC%EB%A0%88%EA%B3%A4_(%ED%8F%AC%EC%BC%93%EB%AA%AC)" TargetMode="External"/><Relationship Id="rId110" Type="http://schemas.openxmlformats.org/officeDocument/2006/relationships/hyperlink" Target="https://pokemon.fandom.com/ko/wiki/%EB%98%90%EB%8F%84%EA%B0%80%EC%8A%A4_(%ED%8F%AC%EC%BC%93%EB%AA%AC)" TargetMode="External"/><Relationship Id="rId115" Type="http://schemas.openxmlformats.org/officeDocument/2006/relationships/hyperlink" Target="https://pokemon.fandom.com/ko/wiki/%EC%BA%A5%EC%B9%B4_(%ED%8F%AC%EC%BC%93%EB%AA%AC)" TargetMode="External"/><Relationship Id="rId131" Type="http://schemas.openxmlformats.org/officeDocument/2006/relationships/hyperlink" Target="https://pokemon.fandom.com/ko/wiki/%EB%9D%BC%ED%94%84%EB%9D%BC%EC%8A%A4_(%ED%8F%AC%EC%BC%93%EB%AA%AC)" TargetMode="External"/><Relationship Id="rId136" Type="http://schemas.openxmlformats.org/officeDocument/2006/relationships/hyperlink" Target="https://pokemon.fandom.com/ko/wiki/%EB%B6%80%EC%8A%A4%ED%84%B0_(%ED%8F%AC%EC%BC%93%EB%AA%AC)" TargetMode="External"/><Relationship Id="rId61" Type="http://schemas.openxmlformats.org/officeDocument/2006/relationships/hyperlink" Target="https://pokemon.fandom.com/ko/wiki/%EC%8A%88%EB%A5%99%EC%B1%99%EC%9D%B4_(%ED%8F%AC%EC%BC%93%EB%AA%AC)" TargetMode="External"/><Relationship Id="rId82" Type="http://schemas.openxmlformats.org/officeDocument/2006/relationships/hyperlink" Target="https://pokemon.fandom.com/ko/wiki/%EB%A0%88%EC%96%B4%EC%BD%94%EC%9D%BC_(%ED%8F%AC%EC%BC%93%EB%AA%AC)" TargetMode="External"/><Relationship Id="rId19" Type="http://schemas.openxmlformats.org/officeDocument/2006/relationships/hyperlink" Target="https://pokemon.fandom.com/ko/wiki/%EA%BC%AC%EB%A0%9B_(%ED%8F%AC%EC%BC%93%EB%AA%AC)" TargetMode="External"/><Relationship Id="rId14" Type="http://schemas.openxmlformats.org/officeDocument/2006/relationships/hyperlink" Target="https://pokemon.fandom.com/ko/wiki/%EB%94%B1%EC%B6%A9%EC%9D%B4_(%ED%8F%AC%EC%BC%93%EB%AA%AC)" TargetMode="External"/><Relationship Id="rId30" Type="http://schemas.openxmlformats.org/officeDocument/2006/relationships/hyperlink" Target="https://pokemon.fandom.com/ko/wiki/%EB%8B%88%EB%93%9C%EB%A6%AC%EB%82%98_(%ED%8F%AC%EC%BC%93%EB%AA%AC)" TargetMode="External"/><Relationship Id="rId35" Type="http://schemas.openxmlformats.org/officeDocument/2006/relationships/hyperlink" Target="https://pokemon.fandom.com/ko/wiki/%EC%82%90%EC%82%90_(%ED%8F%AC%EC%BC%93%EB%AA%AC)" TargetMode="External"/><Relationship Id="rId56" Type="http://schemas.openxmlformats.org/officeDocument/2006/relationships/hyperlink" Target="https://pokemon.fandom.com/ko/wiki/%EB%A7%9D%ED%82%A4_(%ED%8F%AC%EC%BC%93%EB%AA%AC)" TargetMode="External"/><Relationship Id="rId77" Type="http://schemas.openxmlformats.org/officeDocument/2006/relationships/hyperlink" Target="https://pokemon.fandom.com/ko/wiki/%ED%8F%AC%EB%8B%88%ED%83%80_(%ED%8F%AC%EC%BC%93%EB%AA%AC)" TargetMode="External"/><Relationship Id="rId100" Type="http://schemas.openxmlformats.org/officeDocument/2006/relationships/hyperlink" Target="https://pokemon.fandom.com/ko/wiki/%EC%B0%8C%EB%A6%AC%EB%A6%AC%EA%B3%B5_(%ED%8F%AC%EC%BC%93%EB%AA%AC)" TargetMode="External"/><Relationship Id="rId105" Type="http://schemas.openxmlformats.org/officeDocument/2006/relationships/hyperlink" Target="https://pokemon.fandom.com/ko/wiki/%ED%85%85%EA%B5%AC%EB%A6%AC_(%ED%8F%AC%EC%BC%93%EB%AA%AC)" TargetMode="External"/><Relationship Id="rId126" Type="http://schemas.openxmlformats.org/officeDocument/2006/relationships/hyperlink" Target="https://pokemon.fandom.com/ko/wiki/%EB%A7%88%EA%B7%B8%EB%A7%88_(%ED%8F%AC%EC%BC%93%EB%AA%AC)" TargetMode="External"/><Relationship Id="rId147" Type="http://schemas.openxmlformats.org/officeDocument/2006/relationships/hyperlink" Target="https://pokemon.fandom.com/ko/wiki/%EB%AF%B8%EB%87%BD_(%ED%8F%AC%EC%BC%93%EB%AA%AC)" TargetMode="External"/><Relationship Id="rId8" Type="http://schemas.openxmlformats.org/officeDocument/2006/relationships/hyperlink" Target="https://pokemon.fandom.com/ko/wiki/%EC%96%B4%EB%8B%88%EB%B6%80%EA%B8%B0_(%ED%8F%AC%EC%BC%93%EB%AA%AC)" TargetMode="External"/><Relationship Id="rId51" Type="http://schemas.openxmlformats.org/officeDocument/2006/relationships/hyperlink" Target="https://pokemon.fandom.com/ko/wiki/%EB%8B%A5%ED%8A%B8%EB%A6%AC%EC%98%A4_(%ED%8F%AC%EC%BC%93%EB%AA%AC)" TargetMode="External"/><Relationship Id="rId72" Type="http://schemas.openxmlformats.org/officeDocument/2006/relationships/hyperlink" Target="https://pokemon.fandom.com/ko/wiki/%EC%99%95%EB%88%88%ED%95%B4_(%ED%8F%AC%EC%BC%93%EB%AA%AC)" TargetMode="External"/><Relationship Id="rId93" Type="http://schemas.openxmlformats.org/officeDocument/2006/relationships/hyperlink" Target="https://pokemon.fandom.com/ko/wiki/%EA%B3%A0%EC%9A%B0%EC%8A%A4%ED%8A%B8_(%ED%8F%AC%EC%BC%93%EB%AA%AC)" TargetMode="External"/><Relationship Id="rId98" Type="http://schemas.openxmlformats.org/officeDocument/2006/relationships/hyperlink" Target="https://pokemon.fandom.com/ko/wiki/%ED%81%AC%EB%9E%A9_(%ED%8F%AC%EC%BC%93%EB%AA%AC)" TargetMode="External"/><Relationship Id="rId121" Type="http://schemas.openxmlformats.org/officeDocument/2006/relationships/hyperlink" Target="https://pokemon.fandom.com/ko/wiki/%EC%95%84%EC%BF%A0%EC%8A%A4%ED%83%80_(%ED%8F%AC%EC%BC%93%EB%AA%AC)" TargetMode="External"/><Relationship Id="rId142" Type="http://schemas.openxmlformats.org/officeDocument/2006/relationships/hyperlink" Target="https://pokemon.fandom.com/ko/wiki/%ED%94%84%ED%85%8C%EB%9D%BC_(%ED%8F%AC%EC%BC%93%EB%AA%AC)" TargetMode="External"/><Relationship Id="rId3" Type="http://schemas.openxmlformats.org/officeDocument/2006/relationships/hyperlink" Target="https://pokemon.fandom.com/ko/wiki/%EC%9D%B4%EC%83%81%ED%95%B4%EA%BD%83_(%ED%8F%AC%EC%BC%93%EB%AA%AC)" TargetMode="External"/><Relationship Id="rId25" Type="http://schemas.openxmlformats.org/officeDocument/2006/relationships/hyperlink" Target="https://pokemon.fandom.com/ko/wiki/%ED%94%BC%EC%B9%B4%EC%B8%84_(%ED%8F%AC%EC%BC%93%EB%AA%AC)" TargetMode="External"/><Relationship Id="rId46" Type="http://schemas.openxmlformats.org/officeDocument/2006/relationships/hyperlink" Target="https://pokemon.fandom.com/ko/wiki/%ED%8C%8C%EB%9D%BC%EC%8A%A4_(%ED%8F%AC%EC%BC%93%EB%AA%AC)" TargetMode="External"/><Relationship Id="rId67" Type="http://schemas.openxmlformats.org/officeDocument/2006/relationships/hyperlink" Target="https://pokemon.fandom.com/ko/wiki/%EA%B7%BC%EC%9C%A1%EB%AA%AC_(%ED%8F%AC%EC%BC%93%EB%AA%AC)" TargetMode="External"/><Relationship Id="rId116" Type="http://schemas.openxmlformats.org/officeDocument/2006/relationships/hyperlink" Target="https://pokemon.fandom.com/ko/wiki/%EC%8F%98%EB%93%9C%EB%9D%BC_(%ED%8F%AC%EC%BC%93%EB%AA%AC)" TargetMode="External"/><Relationship Id="rId137" Type="http://schemas.openxmlformats.org/officeDocument/2006/relationships/hyperlink" Target="https://pokemon.fandom.com/ko/wiki/%ED%8F%B4%EB%A6%AC%EA%B3%A4_(%ED%8F%AC%EC%BC%93%EB%AA%AC)" TargetMode="External"/><Relationship Id="rId20" Type="http://schemas.openxmlformats.org/officeDocument/2006/relationships/hyperlink" Target="https://pokemon.fandom.com/ko/wiki/%EB%A0%88%ED%8A%B8%EB%9D%BC_(%ED%8F%AC%EC%BC%93%EB%AA%AC)" TargetMode="External"/><Relationship Id="rId41" Type="http://schemas.openxmlformats.org/officeDocument/2006/relationships/hyperlink" Target="https://pokemon.fandom.com/ko/wiki/%EC%A3%BC%EB%B1%83_(%ED%8F%AC%EC%BC%93%EB%AA%AC)" TargetMode="External"/><Relationship Id="rId62" Type="http://schemas.openxmlformats.org/officeDocument/2006/relationships/hyperlink" Target="https://pokemon.fandom.com/ko/wiki/%EA%B0%95%EC%B1%99%EC%9D%B4_(%ED%8F%AC%EC%BC%93%EB%AA%AC)" TargetMode="External"/><Relationship Id="rId83" Type="http://schemas.openxmlformats.org/officeDocument/2006/relationships/hyperlink" Target="https://pokemon.fandom.com/ko/wiki/%ED%8C%8C%EC%98%A4%EB%A6%AC_(%ED%8F%AC%EC%BC%93%EB%AA%AC)" TargetMode="External"/><Relationship Id="rId88" Type="http://schemas.openxmlformats.org/officeDocument/2006/relationships/hyperlink" Target="https://pokemon.fandom.com/ko/wiki/%EC%A7%88%ED%8D%BD%EC%9D%B4_(%ED%8F%AC%EC%BC%93%EB%AA%AC)" TargetMode="External"/><Relationship Id="rId111" Type="http://schemas.openxmlformats.org/officeDocument/2006/relationships/hyperlink" Target="https://pokemon.fandom.com/ko/wiki/%EB%BF%94%EC%B9%B4%EB%85%B8_(%ED%8F%AC%EC%BC%93%EB%AA%AC)" TargetMode="External"/><Relationship Id="rId132" Type="http://schemas.openxmlformats.org/officeDocument/2006/relationships/hyperlink" Target="https://pokemon.fandom.com/ko/wiki/%EB%A9%94%ED%83%80%EB%AA%BD_(%ED%8F%AC%EC%BC%93%EB%AA%AC)" TargetMode="External"/><Relationship Id="rId15" Type="http://schemas.openxmlformats.org/officeDocument/2006/relationships/hyperlink" Target="https://pokemon.fandom.com/ko/wiki/%EB%8F%85%EC%B9%A8%EB%B6%95_(%ED%8F%AC%EC%BC%93%EB%AA%AC)" TargetMode="External"/><Relationship Id="rId36" Type="http://schemas.openxmlformats.org/officeDocument/2006/relationships/hyperlink" Target="https://pokemon.fandom.com/ko/wiki/%ED%94%BD%EC%8B%9C_(%ED%8F%AC%EC%BC%93%EB%AA%AC)" TargetMode="External"/><Relationship Id="rId57" Type="http://schemas.openxmlformats.org/officeDocument/2006/relationships/hyperlink" Target="https://pokemon.fandom.com/ko/wiki/%EC%84%B1%EC%9B%90%EC%88%AD_(%ED%8F%AC%EC%BC%93%EB%AA%AC)" TargetMode="External"/><Relationship Id="rId106" Type="http://schemas.openxmlformats.org/officeDocument/2006/relationships/hyperlink" Target="https://pokemon.fandom.com/ko/wiki/%EC%8B%9C%EB%9D%BC%EC%86%8C%EB%AA%AC_(%ED%8F%AC%EC%BC%93%EB%AA%AC)" TargetMode="External"/><Relationship Id="rId127" Type="http://schemas.openxmlformats.org/officeDocument/2006/relationships/hyperlink" Target="https://pokemon.fandom.com/ko/wiki/%EC%81%98%EC%82%AC%EC%9D%B4%EC%A0%80_(%ED%8F%AC%EC%BC%93%EB%AA%AC)" TargetMode="External"/><Relationship Id="rId10" Type="http://schemas.openxmlformats.org/officeDocument/2006/relationships/hyperlink" Target="https://pokemon.fandom.com/ko/wiki/%EC%BA%90%ED%84%B0%ED%94%BC_(%ED%8F%AC%EC%BC%93%EB%AA%AC)" TargetMode="External"/><Relationship Id="rId31" Type="http://schemas.openxmlformats.org/officeDocument/2006/relationships/hyperlink" Target="https://pokemon.fandom.com/ko/wiki/%EB%8B%88%EB%93%9C%ED%80%B8_(%ED%8F%AC%EC%BC%93%EB%AA%AC)" TargetMode="External"/><Relationship Id="rId52" Type="http://schemas.openxmlformats.org/officeDocument/2006/relationships/hyperlink" Target="https://pokemon.fandom.com/ko/wiki/%EB%82%98%EC%98%B9_(%ED%8F%AC%EC%BC%93%EB%AA%AC)" TargetMode="External"/><Relationship Id="rId73" Type="http://schemas.openxmlformats.org/officeDocument/2006/relationships/hyperlink" Target="https://pokemon.fandom.com/ko/wiki/%EB%8F%85%ED%8C%8C%EB%A6%AC_(%ED%8F%AC%EC%BC%93%EB%AA%AC)" TargetMode="External"/><Relationship Id="rId78" Type="http://schemas.openxmlformats.org/officeDocument/2006/relationships/hyperlink" Target="https://pokemon.fandom.com/ko/wiki/%EB%82%A0%EC%8C%A9%EB%A7%88_(%ED%8F%AC%EC%BC%93%EB%AA%AC)" TargetMode="External"/><Relationship Id="rId94" Type="http://schemas.openxmlformats.org/officeDocument/2006/relationships/hyperlink" Target="https://pokemon.fandom.com/ko/wiki/%ED%8C%AC%ED%85%80_(%ED%8F%AC%EC%BC%93%EB%AA%AC)" TargetMode="External"/><Relationship Id="rId99" Type="http://schemas.openxmlformats.org/officeDocument/2006/relationships/hyperlink" Target="https://pokemon.fandom.com/ko/wiki/%ED%82%B9%ED%81%AC%EB%9E%A9_(%ED%8F%AC%EC%BC%93%EB%AA%AC)" TargetMode="External"/><Relationship Id="rId101" Type="http://schemas.openxmlformats.org/officeDocument/2006/relationships/hyperlink" Target="https://pokemon.fandom.com/ko/wiki/%EB%B6%90%EB%B3%BC_(%ED%8F%AC%EC%BC%93%EB%AA%AC)" TargetMode="External"/><Relationship Id="rId122" Type="http://schemas.openxmlformats.org/officeDocument/2006/relationships/hyperlink" Target="https://pokemon.fandom.com/ko/wiki/%EB%A7%88%EC%9E%84%EB%A7%A8_(%ED%8F%AC%EC%BC%93%EB%AA%AC)" TargetMode="External"/><Relationship Id="rId143" Type="http://schemas.openxmlformats.org/officeDocument/2006/relationships/hyperlink" Target="https://pokemon.fandom.com/ko/wiki/%EC%9E%A0%EB%A7%8C%EB%B3%B4_(%ED%8F%AC%EC%BC%93%EB%AA%AC)" TargetMode="External"/><Relationship Id="rId148" Type="http://schemas.openxmlformats.org/officeDocument/2006/relationships/hyperlink" Target="https://pokemon.fandom.com/ko/wiki/%EC%8B%A0%EB%87%BD_(%ED%8F%AC%EC%BC%93%EB%AA%AC)" TargetMode="External"/><Relationship Id="rId4" Type="http://schemas.openxmlformats.org/officeDocument/2006/relationships/hyperlink" Target="https://pokemon.fandom.com/ko/wiki/%ED%8C%8C%EC%9D%B4%EB%A6%AC_(%ED%8F%AC%EC%BC%93%EB%AA%AC)" TargetMode="External"/><Relationship Id="rId9" Type="http://schemas.openxmlformats.org/officeDocument/2006/relationships/hyperlink" Target="https://pokemon.fandom.com/ko/wiki/%EA%B1%B0%EB%B6%81%EC%99%95_(%ED%8F%AC%EC%BC%93%EB%AA%AC)" TargetMode="External"/><Relationship Id="rId26" Type="http://schemas.openxmlformats.org/officeDocument/2006/relationships/hyperlink" Target="https://pokemon.fandom.com/ko/wiki/%EB%9D%BC%EC%9D%B4%EC%B8%84_(%ED%8F%AC%EC%BC%93%EB%AA%AC)" TargetMode="External"/><Relationship Id="rId47" Type="http://schemas.openxmlformats.org/officeDocument/2006/relationships/hyperlink" Target="https://pokemon.fandom.com/ko/wiki/%ED%8C%8C%EB%9D%BC%EC%84%B9%ED%8A%B8_(%ED%8F%AC%EC%BC%93%EB%AA%AC)" TargetMode="External"/><Relationship Id="rId68" Type="http://schemas.openxmlformats.org/officeDocument/2006/relationships/hyperlink" Target="https://pokemon.fandom.com/ko/wiki/%EA%B4%B4%EB%A0%A5%EB%AA%AC_(%ED%8F%AC%EC%BC%93%EB%AA%AC)" TargetMode="External"/><Relationship Id="rId89" Type="http://schemas.openxmlformats.org/officeDocument/2006/relationships/hyperlink" Target="https://pokemon.fandom.com/ko/wiki/%EC%A7%88%EB%BB%90%EA%B8%B0_(%ED%8F%AC%EC%BC%93%EB%AA%AC)" TargetMode="External"/><Relationship Id="rId112" Type="http://schemas.openxmlformats.org/officeDocument/2006/relationships/hyperlink" Target="https://pokemon.fandom.com/ko/wiki/%EC%BD%94%EB%BF%8C%EB%A6%AC_(%ED%8F%AC%EC%BC%93%EB%AA%AC)" TargetMode="External"/><Relationship Id="rId133" Type="http://schemas.openxmlformats.org/officeDocument/2006/relationships/hyperlink" Target="https://pokemon.fandom.com/ko/wiki/%EC%9D%B4%EB%B8%8C%EC%9D%B4_(%ED%8F%AC%EC%BC%93%EB%AA%AC)" TargetMode="External"/><Relationship Id="rId16" Type="http://schemas.openxmlformats.org/officeDocument/2006/relationships/hyperlink" Target="https://pokemon.fandom.com/ko/wiki/%EA%B5%AC%EA%B5%AC_(%ED%8F%AC%EC%BC%93%EB%AA%AC)" TargetMode="External"/><Relationship Id="rId37" Type="http://schemas.openxmlformats.org/officeDocument/2006/relationships/hyperlink" Target="https://pokemon.fandom.com/ko/wiki/%EC%8B%9D%EC%8A%A4%ED%85%8C%EC%9D%BC_(%ED%8F%AC%EC%BC%93%EB%AA%AC)" TargetMode="External"/><Relationship Id="rId58" Type="http://schemas.openxmlformats.org/officeDocument/2006/relationships/hyperlink" Target="https://pokemon.fandom.com/ko/wiki/%EA%B0%80%EB%94%94_(%ED%8F%AC%EC%BC%93%EB%AA%AC)" TargetMode="External"/><Relationship Id="rId79" Type="http://schemas.openxmlformats.org/officeDocument/2006/relationships/hyperlink" Target="https://pokemon.fandom.com/ko/wiki/%EC%95%BC%EB%8F%88_(%ED%8F%AC%EC%BC%93%EB%AA%AC)" TargetMode="External"/><Relationship Id="rId102" Type="http://schemas.openxmlformats.org/officeDocument/2006/relationships/hyperlink" Target="https://pokemon.fandom.com/ko/wiki/%EC%95%84%EB%9D%BC%EB%A6%AC_(%ED%8F%AC%EC%BC%93%EB%AA%AC)" TargetMode="External"/><Relationship Id="rId123" Type="http://schemas.openxmlformats.org/officeDocument/2006/relationships/hyperlink" Target="https://pokemon.fandom.com/ko/wiki/%EC%8A%A4%EB%9D%BC%ED%81%AC_(%ED%8F%AC%EC%BC%93%EB%AA%AC)" TargetMode="External"/><Relationship Id="rId144" Type="http://schemas.openxmlformats.org/officeDocument/2006/relationships/hyperlink" Target="https://pokemon.fandom.com/ko/wiki/%ED%94%84%EB%A6%AC%EC%A0%B8_(%ED%8F%AC%EC%BC%93%EB%AA%AC)" TargetMode="External"/><Relationship Id="rId90" Type="http://schemas.openxmlformats.org/officeDocument/2006/relationships/hyperlink" Target="https://pokemon.fandom.com/ko/wiki/%EC%85%80%EB%9F%AC_(%ED%8F%AC%EC%BC%93%EB%AA%AC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1</xdr:col>
      <xdr:colOff>190500</xdr:colOff>
      <xdr:row>13</xdr:row>
      <xdr:rowOff>180975</xdr:rowOff>
    </xdr:to>
    <xdr:sp macro="" textlink="">
      <xdr:nvSpPr>
        <xdr:cNvPr id="1025" name="AutoShape 1" descr="001새박스아이콘">
          <a:hlinkClick xmlns:r="http://schemas.openxmlformats.org/officeDocument/2006/relationships" r:id="rId1" tooltip="이상해씨 (포켓몬)"/>
          <a:extLst>
            <a:ext uri="{FF2B5EF4-FFF2-40B4-BE49-F238E27FC236}">
              <a16:creationId xmlns:a16="http://schemas.microsoft.com/office/drawing/2014/main" id="{1FB4DBCA-22C5-3230-E339-5C9F58C33467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00375"/>
          <a:ext cx="1905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200025</xdr:colOff>
      <xdr:row>14</xdr:row>
      <xdr:rowOff>190500</xdr:rowOff>
    </xdr:to>
    <xdr:sp macro="" textlink="">
      <xdr:nvSpPr>
        <xdr:cNvPr id="1026" name="AutoShape 2" descr="002새박스아이콘">
          <a:hlinkClick xmlns:r="http://schemas.openxmlformats.org/officeDocument/2006/relationships" r:id="rId2" tooltip="이상해풀 (포켓몬)"/>
          <a:extLst>
            <a:ext uri="{FF2B5EF4-FFF2-40B4-BE49-F238E27FC236}">
              <a16:creationId xmlns:a16="http://schemas.microsoft.com/office/drawing/2014/main" id="{ACB44521-23EE-2904-C90C-BE4F20E8FE0F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09925"/>
          <a:ext cx="2000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285750</xdr:colOff>
      <xdr:row>16</xdr:row>
      <xdr:rowOff>19050</xdr:rowOff>
    </xdr:to>
    <xdr:sp macro="" textlink="">
      <xdr:nvSpPr>
        <xdr:cNvPr id="1027" name="AutoShape 3" descr="003새박스아이콘">
          <a:hlinkClick xmlns:r="http://schemas.openxmlformats.org/officeDocument/2006/relationships" r:id="rId3" tooltip="이상해꽃 (포켓몬)"/>
          <a:extLst>
            <a:ext uri="{FF2B5EF4-FFF2-40B4-BE49-F238E27FC236}">
              <a16:creationId xmlns:a16="http://schemas.microsoft.com/office/drawing/2014/main" id="{097386E0-FF5C-91E7-C6D3-45BD542ABBB8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9475"/>
          <a:ext cx="28575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28575</xdr:rowOff>
    </xdr:from>
    <xdr:to>
      <xdr:col>1</xdr:col>
      <xdr:colOff>200025</xdr:colOff>
      <xdr:row>17</xdr:row>
      <xdr:rowOff>0</xdr:rowOff>
    </xdr:to>
    <xdr:sp macro="" textlink="">
      <xdr:nvSpPr>
        <xdr:cNvPr id="1028" name="AutoShape 4" descr="004새박스아이콘">
          <a:hlinkClick xmlns:r="http://schemas.openxmlformats.org/officeDocument/2006/relationships" r:id="rId4" tooltip="파이리 (포켓몬)"/>
          <a:extLst>
            <a:ext uri="{FF2B5EF4-FFF2-40B4-BE49-F238E27FC236}">
              <a16:creationId xmlns:a16="http://schemas.microsoft.com/office/drawing/2014/main" id="{42B1EE3C-C946-E194-AA57-1D30535158F8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57600"/>
          <a:ext cx="2000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209550</xdr:colOff>
      <xdr:row>18</xdr:row>
      <xdr:rowOff>9525</xdr:rowOff>
    </xdr:to>
    <xdr:sp macro="" textlink="">
      <xdr:nvSpPr>
        <xdr:cNvPr id="1029" name="AutoShape 5" descr="005새박스아이콘">
          <a:hlinkClick xmlns:r="http://schemas.openxmlformats.org/officeDocument/2006/relationships" r:id="rId5" tooltip="리자드 (포켓몬)"/>
          <a:extLst>
            <a:ext uri="{FF2B5EF4-FFF2-40B4-BE49-F238E27FC236}">
              <a16:creationId xmlns:a16="http://schemas.microsoft.com/office/drawing/2014/main" id="{958AC1D0-22AF-40F7-4769-D6714571B266}"/>
            </a:ext>
          </a:extLst>
        </xdr:cNvPr>
        <xdr:cNvSpPr>
          <a:spLocks noChangeAspect="1" noChangeArrowheads="1"/>
        </xdr:cNvSpPr>
      </xdr:nvSpPr>
      <xdr:spPr bwMode="auto">
        <a:xfrm>
          <a:off x="685800" y="383857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19050</xdr:rowOff>
    </xdr:from>
    <xdr:to>
      <xdr:col>1</xdr:col>
      <xdr:colOff>304800</xdr:colOff>
      <xdr:row>19</xdr:row>
      <xdr:rowOff>66675</xdr:rowOff>
    </xdr:to>
    <xdr:sp macro="" textlink="">
      <xdr:nvSpPr>
        <xdr:cNvPr id="1030" name="AutoShape 6" descr="006새박스아이콘">
          <a:hlinkClick xmlns:r="http://schemas.openxmlformats.org/officeDocument/2006/relationships" r:id="rId6" tooltip="리자몽 (포켓몬)"/>
          <a:extLst>
            <a:ext uri="{FF2B5EF4-FFF2-40B4-BE49-F238E27FC236}">
              <a16:creationId xmlns:a16="http://schemas.microsoft.com/office/drawing/2014/main" id="{97DD8AA4-E4A0-694E-621C-54EBDBAED5B9}"/>
            </a:ext>
          </a:extLst>
        </xdr:cNvPr>
        <xdr:cNvSpPr>
          <a:spLocks noChangeAspect="1" noChangeArrowheads="1"/>
        </xdr:cNvSpPr>
      </xdr:nvSpPr>
      <xdr:spPr bwMode="auto">
        <a:xfrm>
          <a:off x="685800" y="4067175"/>
          <a:ext cx="304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76200</xdr:rowOff>
    </xdr:from>
    <xdr:to>
      <xdr:col>1</xdr:col>
      <xdr:colOff>200025</xdr:colOff>
      <xdr:row>20</xdr:row>
      <xdr:rowOff>28575</xdr:rowOff>
    </xdr:to>
    <xdr:sp macro="" textlink="">
      <xdr:nvSpPr>
        <xdr:cNvPr id="1031" name="AutoShape 7" descr="007새박스아이콘">
          <a:hlinkClick xmlns:r="http://schemas.openxmlformats.org/officeDocument/2006/relationships" r:id="rId7" tooltip="꼬부기 (포켓몬)"/>
          <a:extLst>
            <a:ext uri="{FF2B5EF4-FFF2-40B4-BE49-F238E27FC236}">
              <a16:creationId xmlns:a16="http://schemas.microsoft.com/office/drawing/2014/main" id="{F92984F4-646A-F6DF-3E1C-59C35030F9A7}"/>
            </a:ext>
          </a:extLst>
        </xdr:cNvPr>
        <xdr:cNvSpPr>
          <a:spLocks noChangeAspect="1" noChangeArrowheads="1"/>
        </xdr:cNvSpPr>
      </xdr:nvSpPr>
      <xdr:spPr bwMode="auto">
        <a:xfrm>
          <a:off x="685800" y="4333875"/>
          <a:ext cx="2000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228600</xdr:colOff>
      <xdr:row>21</xdr:row>
      <xdr:rowOff>0</xdr:rowOff>
    </xdr:to>
    <xdr:sp macro="" textlink="">
      <xdr:nvSpPr>
        <xdr:cNvPr id="1032" name="AutoShape 8" descr="008새박스아이콘">
          <a:hlinkClick xmlns:r="http://schemas.openxmlformats.org/officeDocument/2006/relationships" r:id="rId8" tooltip="어니부기 (포켓몬)"/>
          <a:extLst>
            <a:ext uri="{FF2B5EF4-FFF2-40B4-BE49-F238E27FC236}">
              <a16:creationId xmlns:a16="http://schemas.microsoft.com/office/drawing/2014/main" id="{2B9520D5-7270-43C4-7274-209D31682271}"/>
            </a:ext>
          </a:extLst>
        </xdr:cNvPr>
        <xdr:cNvSpPr>
          <a:spLocks noChangeAspect="1" noChangeArrowheads="1"/>
        </xdr:cNvSpPr>
      </xdr:nvSpPr>
      <xdr:spPr bwMode="auto">
        <a:xfrm>
          <a:off x="685800" y="4467225"/>
          <a:ext cx="2286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9525</xdr:rowOff>
    </xdr:from>
    <xdr:to>
      <xdr:col>1</xdr:col>
      <xdr:colOff>238125</xdr:colOff>
      <xdr:row>22</xdr:row>
      <xdr:rowOff>28575</xdr:rowOff>
    </xdr:to>
    <xdr:sp macro="" textlink="">
      <xdr:nvSpPr>
        <xdr:cNvPr id="1033" name="AutoShape 9" descr="009새박스아이콘">
          <a:hlinkClick xmlns:r="http://schemas.openxmlformats.org/officeDocument/2006/relationships" r:id="rId9" tooltip="거북왕 (포켓몬)"/>
          <a:extLst>
            <a:ext uri="{FF2B5EF4-FFF2-40B4-BE49-F238E27FC236}">
              <a16:creationId xmlns:a16="http://schemas.microsoft.com/office/drawing/2014/main" id="{B81F2C99-057C-611A-A4F6-2009FE143586}"/>
            </a:ext>
          </a:extLst>
        </xdr:cNvPr>
        <xdr:cNvSpPr>
          <a:spLocks noChangeAspect="1" noChangeArrowheads="1"/>
        </xdr:cNvSpPr>
      </xdr:nvSpPr>
      <xdr:spPr bwMode="auto">
        <a:xfrm>
          <a:off x="685800" y="4686300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38100</xdr:rowOff>
    </xdr:from>
    <xdr:to>
      <xdr:col>1</xdr:col>
      <xdr:colOff>133350</xdr:colOff>
      <xdr:row>22</xdr:row>
      <xdr:rowOff>190500</xdr:rowOff>
    </xdr:to>
    <xdr:sp macro="" textlink="">
      <xdr:nvSpPr>
        <xdr:cNvPr id="1034" name="AutoShape 10" descr="010새박스아이콘">
          <a:hlinkClick xmlns:r="http://schemas.openxmlformats.org/officeDocument/2006/relationships" r:id="rId10" tooltip="캐터피 (포켓몬)"/>
          <a:extLst>
            <a:ext uri="{FF2B5EF4-FFF2-40B4-BE49-F238E27FC236}">
              <a16:creationId xmlns:a16="http://schemas.microsoft.com/office/drawing/2014/main" id="{8ED16674-E12E-83E8-0ACE-F87EB751FC96}"/>
            </a:ext>
          </a:extLst>
        </xdr:cNvPr>
        <xdr:cNvSpPr>
          <a:spLocks noChangeAspect="1" noChangeArrowheads="1"/>
        </xdr:cNvSpPr>
      </xdr:nvSpPr>
      <xdr:spPr bwMode="auto">
        <a:xfrm>
          <a:off x="685800" y="4924425"/>
          <a:ext cx="133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114300</xdr:colOff>
      <xdr:row>23</xdr:row>
      <xdr:rowOff>171450</xdr:rowOff>
    </xdr:to>
    <xdr:sp macro="" textlink="">
      <xdr:nvSpPr>
        <xdr:cNvPr id="1035" name="AutoShape 11" descr="011새박스아이콘">
          <a:hlinkClick xmlns:r="http://schemas.openxmlformats.org/officeDocument/2006/relationships" r:id="rId11" tooltip="단데기 (포켓몬)"/>
          <a:extLst>
            <a:ext uri="{FF2B5EF4-FFF2-40B4-BE49-F238E27FC236}">
              <a16:creationId xmlns:a16="http://schemas.microsoft.com/office/drawing/2014/main" id="{2F20562C-85F3-B72E-6283-9FD19FCE0180}"/>
            </a:ext>
          </a:extLst>
        </xdr:cNvPr>
        <xdr:cNvSpPr>
          <a:spLocks noChangeAspect="1" noChangeArrowheads="1"/>
        </xdr:cNvSpPr>
      </xdr:nvSpPr>
      <xdr:spPr bwMode="auto">
        <a:xfrm>
          <a:off x="685800" y="5095875"/>
          <a:ext cx="1143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228600</xdr:colOff>
      <xdr:row>25</xdr:row>
      <xdr:rowOff>19050</xdr:rowOff>
    </xdr:to>
    <xdr:sp macro="" textlink="">
      <xdr:nvSpPr>
        <xdr:cNvPr id="1036" name="AutoShape 12" descr="012새박스아이콘">
          <a:hlinkClick xmlns:r="http://schemas.openxmlformats.org/officeDocument/2006/relationships" r:id="rId12" tooltip="버터플 (포켓몬)"/>
          <a:extLst>
            <a:ext uri="{FF2B5EF4-FFF2-40B4-BE49-F238E27FC236}">
              <a16:creationId xmlns:a16="http://schemas.microsoft.com/office/drawing/2014/main" id="{01934282-1AEC-0EC3-4525-06B43097650B}"/>
            </a:ext>
          </a:extLst>
        </xdr:cNvPr>
        <xdr:cNvSpPr>
          <a:spLocks noChangeAspect="1" noChangeArrowheads="1"/>
        </xdr:cNvSpPr>
      </xdr:nvSpPr>
      <xdr:spPr bwMode="auto">
        <a:xfrm>
          <a:off x="685800" y="53054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28575</xdr:rowOff>
    </xdr:from>
    <xdr:to>
      <xdr:col>1</xdr:col>
      <xdr:colOff>152400</xdr:colOff>
      <xdr:row>25</xdr:row>
      <xdr:rowOff>190500</xdr:rowOff>
    </xdr:to>
    <xdr:sp macro="" textlink="">
      <xdr:nvSpPr>
        <xdr:cNvPr id="1037" name="AutoShape 13" descr="013새박스아이콘">
          <a:hlinkClick xmlns:r="http://schemas.openxmlformats.org/officeDocument/2006/relationships" r:id="rId13" tooltip="뿔충이 (포켓몬)"/>
          <a:extLst>
            <a:ext uri="{FF2B5EF4-FFF2-40B4-BE49-F238E27FC236}">
              <a16:creationId xmlns:a16="http://schemas.microsoft.com/office/drawing/2014/main" id="{96424DA5-7E0F-09BA-C8B0-1FDC89137C17}"/>
            </a:ext>
          </a:extLst>
        </xdr:cNvPr>
        <xdr:cNvSpPr>
          <a:spLocks noChangeAspect="1" noChangeArrowheads="1"/>
        </xdr:cNvSpPr>
      </xdr:nvSpPr>
      <xdr:spPr bwMode="auto">
        <a:xfrm>
          <a:off x="685800" y="5543550"/>
          <a:ext cx="1524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123825</xdr:colOff>
      <xdr:row>26</xdr:row>
      <xdr:rowOff>171450</xdr:rowOff>
    </xdr:to>
    <xdr:sp macro="" textlink="">
      <xdr:nvSpPr>
        <xdr:cNvPr id="1038" name="AutoShape 14" descr="014새박스아이콘">
          <a:hlinkClick xmlns:r="http://schemas.openxmlformats.org/officeDocument/2006/relationships" r:id="rId14" tooltip="딱충이 (포켓몬)"/>
          <a:extLst>
            <a:ext uri="{FF2B5EF4-FFF2-40B4-BE49-F238E27FC236}">
              <a16:creationId xmlns:a16="http://schemas.microsoft.com/office/drawing/2014/main" id="{8C785481-BE14-3872-9B49-CB296F4043DE}"/>
            </a:ext>
          </a:extLst>
        </xdr:cNvPr>
        <xdr:cNvSpPr>
          <a:spLocks noChangeAspect="1" noChangeArrowheads="1"/>
        </xdr:cNvSpPr>
      </xdr:nvSpPr>
      <xdr:spPr bwMode="auto">
        <a:xfrm>
          <a:off x="685800" y="5724525"/>
          <a:ext cx="1238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238125</xdr:colOff>
      <xdr:row>28</xdr:row>
      <xdr:rowOff>9525</xdr:rowOff>
    </xdr:to>
    <xdr:sp macro="" textlink="">
      <xdr:nvSpPr>
        <xdr:cNvPr id="1039" name="AutoShape 15" descr="015새박스아이콘">
          <a:hlinkClick xmlns:r="http://schemas.openxmlformats.org/officeDocument/2006/relationships" r:id="rId15" tooltip="독침붕 (포켓몬)"/>
          <a:extLst>
            <a:ext uri="{FF2B5EF4-FFF2-40B4-BE49-F238E27FC236}">
              <a16:creationId xmlns:a16="http://schemas.microsoft.com/office/drawing/2014/main" id="{560260F7-E3E0-406D-562B-9CF3256D8797}"/>
            </a:ext>
          </a:extLst>
        </xdr:cNvPr>
        <xdr:cNvSpPr>
          <a:spLocks noChangeAspect="1" noChangeArrowheads="1"/>
        </xdr:cNvSpPr>
      </xdr:nvSpPr>
      <xdr:spPr bwMode="auto">
        <a:xfrm>
          <a:off x="685800" y="5934075"/>
          <a:ext cx="2381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19050</xdr:rowOff>
    </xdr:from>
    <xdr:to>
      <xdr:col>1</xdr:col>
      <xdr:colOff>171450</xdr:colOff>
      <xdr:row>28</xdr:row>
      <xdr:rowOff>180975</xdr:rowOff>
    </xdr:to>
    <xdr:sp macro="" textlink="">
      <xdr:nvSpPr>
        <xdr:cNvPr id="1040" name="AutoShape 16" descr="016새박스아이콘">
          <a:hlinkClick xmlns:r="http://schemas.openxmlformats.org/officeDocument/2006/relationships" r:id="rId16" tooltip="구구 (포켓몬)"/>
          <a:extLst>
            <a:ext uri="{FF2B5EF4-FFF2-40B4-BE49-F238E27FC236}">
              <a16:creationId xmlns:a16="http://schemas.microsoft.com/office/drawing/2014/main" id="{CE502232-21DD-E001-D99D-BEB0618A2487}"/>
            </a:ext>
          </a:extLst>
        </xdr:cNvPr>
        <xdr:cNvSpPr>
          <a:spLocks noChangeAspect="1" noChangeArrowheads="1"/>
        </xdr:cNvSpPr>
      </xdr:nvSpPr>
      <xdr:spPr bwMode="auto">
        <a:xfrm>
          <a:off x="685800" y="6162675"/>
          <a:ext cx="1714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200025</xdr:colOff>
      <xdr:row>29</xdr:row>
      <xdr:rowOff>190500</xdr:rowOff>
    </xdr:to>
    <xdr:sp macro="" textlink="">
      <xdr:nvSpPr>
        <xdr:cNvPr id="1041" name="AutoShape 17" descr="017새박스아이콘">
          <a:hlinkClick xmlns:r="http://schemas.openxmlformats.org/officeDocument/2006/relationships" r:id="rId17" tooltip="피죤 (포켓몬)"/>
          <a:extLst>
            <a:ext uri="{FF2B5EF4-FFF2-40B4-BE49-F238E27FC236}">
              <a16:creationId xmlns:a16="http://schemas.microsoft.com/office/drawing/2014/main" id="{54D766AC-13CC-7F61-F9B4-38262B0E0CD4}"/>
            </a:ext>
          </a:extLst>
        </xdr:cNvPr>
        <xdr:cNvSpPr>
          <a:spLocks noChangeAspect="1" noChangeArrowheads="1"/>
        </xdr:cNvSpPr>
      </xdr:nvSpPr>
      <xdr:spPr bwMode="auto">
        <a:xfrm>
          <a:off x="685800" y="6353175"/>
          <a:ext cx="2000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238125</xdr:colOff>
      <xdr:row>31</xdr:row>
      <xdr:rowOff>9525</xdr:rowOff>
    </xdr:to>
    <xdr:sp macro="" textlink="">
      <xdr:nvSpPr>
        <xdr:cNvPr id="1042" name="AutoShape 18" descr="018새박스아이콘">
          <a:hlinkClick xmlns:r="http://schemas.openxmlformats.org/officeDocument/2006/relationships" r:id="rId18" tooltip="피죤투 (포켓몬)"/>
          <a:extLst>
            <a:ext uri="{FF2B5EF4-FFF2-40B4-BE49-F238E27FC236}">
              <a16:creationId xmlns:a16="http://schemas.microsoft.com/office/drawing/2014/main" id="{3AC9E360-674D-A359-1070-72C900E62345}"/>
            </a:ext>
          </a:extLst>
        </xdr:cNvPr>
        <xdr:cNvSpPr>
          <a:spLocks noChangeAspect="1" noChangeArrowheads="1"/>
        </xdr:cNvSpPr>
      </xdr:nvSpPr>
      <xdr:spPr bwMode="auto">
        <a:xfrm>
          <a:off x="685800" y="6562725"/>
          <a:ext cx="2381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19050</xdr:rowOff>
    </xdr:from>
    <xdr:to>
      <xdr:col>1</xdr:col>
      <xdr:colOff>190500</xdr:colOff>
      <xdr:row>32</xdr:row>
      <xdr:rowOff>9525</xdr:rowOff>
    </xdr:to>
    <xdr:sp macro="" textlink="">
      <xdr:nvSpPr>
        <xdr:cNvPr id="1043" name="AutoShape 19" descr="019새박스아이콘">
          <a:hlinkClick xmlns:r="http://schemas.openxmlformats.org/officeDocument/2006/relationships" r:id="rId19" tooltip="꼬렛 (포켓몬)"/>
          <a:extLst>
            <a:ext uri="{FF2B5EF4-FFF2-40B4-BE49-F238E27FC236}">
              <a16:creationId xmlns:a16="http://schemas.microsoft.com/office/drawing/2014/main" id="{50A2F34C-AEF0-0643-5CBA-F9584D819F29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913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238125</xdr:colOff>
      <xdr:row>32</xdr:row>
      <xdr:rowOff>200025</xdr:rowOff>
    </xdr:to>
    <xdr:sp macro="" textlink="">
      <xdr:nvSpPr>
        <xdr:cNvPr id="1044" name="AutoShape 20" descr="020새박스아이콘">
          <a:hlinkClick xmlns:r="http://schemas.openxmlformats.org/officeDocument/2006/relationships" r:id="rId20" tooltip="레트라 (포켓몬)"/>
          <a:extLst>
            <a:ext uri="{FF2B5EF4-FFF2-40B4-BE49-F238E27FC236}">
              <a16:creationId xmlns:a16="http://schemas.microsoft.com/office/drawing/2014/main" id="{36E898C9-00E8-F9EF-06EA-FD1BEE6A2BBE}"/>
            </a:ext>
          </a:extLst>
        </xdr:cNvPr>
        <xdr:cNvSpPr>
          <a:spLocks noChangeAspect="1" noChangeArrowheads="1"/>
        </xdr:cNvSpPr>
      </xdr:nvSpPr>
      <xdr:spPr bwMode="auto">
        <a:xfrm>
          <a:off x="685800" y="6981825"/>
          <a:ext cx="238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180975</xdr:colOff>
      <xdr:row>33</xdr:row>
      <xdr:rowOff>152400</xdr:rowOff>
    </xdr:to>
    <xdr:sp macro="" textlink="">
      <xdr:nvSpPr>
        <xdr:cNvPr id="1045" name="AutoShape 21" descr="021새박스아이콘">
          <a:hlinkClick xmlns:r="http://schemas.openxmlformats.org/officeDocument/2006/relationships" r:id="rId21" tooltip="깨비참 (포켓몬)"/>
          <a:extLst>
            <a:ext uri="{FF2B5EF4-FFF2-40B4-BE49-F238E27FC236}">
              <a16:creationId xmlns:a16="http://schemas.microsoft.com/office/drawing/2014/main" id="{00071F2B-D530-D917-9D8D-3BC1E48BE26A}"/>
            </a:ext>
          </a:extLst>
        </xdr:cNvPr>
        <xdr:cNvSpPr>
          <a:spLocks noChangeAspect="1" noChangeArrowheads="1"/>
        </xdr:cNvSpPr>
      </xdr:nvSpPr>
      <xdr:spPr bwMode="auto">
        <a:xfrm>
          <a:off x="685800" y="7191375"/>
          <a:ext cx="1809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285750</xdr:colOff>
      <xdr:row>34</xdr:row>
      <xdr:rowOff>209550</xdr:rowOff>
    </xdr:to>
    <xdr:sp macro="" textlink="">
      <xdr:nvSpPr>
        <xdr:cNvPr id="1046" name="AutoShape 22" descr="022새박스아이콘">
          <a:hlinkClick xmlns:r="http://schemas.openxmlformats.org/officeDocument/2006/relationships" r:id="rId22" tooltip="깨비드릴조 (포켓몬)"/>
          <a:extLst>
            <a:ext uri="{FF2B5EF4-FFF2-40B4-BE49-F238E27FC236}">
              <a16:creationId xmlns:a16="http://schemas.microsoft.com/office/drawing/2014/main" id="{C0F64BC6-629D-37BA-10A3-260C00E97190}"/>
            </a:ext>
          </a:extLst>
        </xdr:cNvPr>
        <xdr:cNvSpPr>
          <a:spLocks noChangeAspect="1" noChangeArrowheads="1"/>
        </xdr:cNvSpPr>
      </xdr:nvSpPr>
      <xdr:spPr bwMode="auto">
        <a:xfrm>
          <a:off x="685800" y="7400925"/>
          <a:ext cx="2857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9525</xdr:rowOff>
    </xdr:from>
    <xdr:to>
      <xdr:col>1</xdr:col>
      <xdr:colOff>171450</xdr:colOff>
      <xdr:row>36</xdr:row>
      <xdr:rowOff>0</xdr:rowOff>
    </xdr:to>
    <xdr:sp macro="" textlink="">
      <xdr:nvSpPr>
        <xdr:cNvPr id="1047" name="AutoShape 23" descr="023새박스아이콘">
          <a:hlinkClick xmlns:r="http://schemas.openxmlformats.org/officeDocument/2006/relationships" r:id="rId23" tooltip="아보 (포켓몬)"/>
          <a:extLst>
            <a:ext uri="{FF2B5EF4-FFF2-40B4-BE49-F238E27FC236}">
              <a16:creationId xmlns:a16="http://schemas.microsoft.com/office/drawing/2014/main" id="{0F614949-8C71-906A-330C-022056A4BC7A}"/>
            </a:ext>
          </a:extLst>
        </xdr:cNvPr>
        <xdr:cNvSpPr>
          <a:spLocks noChangeAspect="1" noChangeArrowheads="1"/>
        </xdr:cNvSpPr>
      </xdr:nvSpPr>
      <xdr:spPr bwMode="auto">
        <a:xfrm>
          <a:off x="685800" y="7829550"/>
          <a:ext cx="1714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190500</xdr:colOff>
      <xdr:row>37</xdr:row>
      <xdr:rowOff>9525</xdr:rowOff>
    </xdr:to>
    <xdr:sp macro="" textlink="">
      <xdr:nvSpPr>
        <xdr:cNvPr id="1048" name="AutoShape 24" descr="024새박스아이콘">
          <a:hlinkClick xmlns:r="http://schemas.openxmlformats.org/officeDocument/2006/relationships" r:id="rId24" tooltip="아보크 (포켓몬)"/>
          <a:extLst>
            <a:ext uri="{FF2B5EF4-FFF2-40B4-BE49-F238E27FC236}">
              <a16:creationId xmlns:a16="http://schemas.microsoft.com/office/drawing/2014/main" id="{7680CF9C-F882-CC07-8884-0BD807713FA3}"/>
            </a:ext>
          </a:extLst>
        </xdr:cNvPr>
        <xdr:cNvSpPr>
          <a:spLocks noChangeAspect="1" noChangeArrowheads="1"/>
        </xdr:cNvSpPr>
      </xdr:nvSpPr>
      <xdr:spPr bwMode="auto">
        <a:xfrm>
          <a:off x="685800" y="8029575"/>
          <a:ext cx="1905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19050</xdr:rowOff>
    </xdr:from>
    <xdr:to>
      <xdr:col>1</xdr:col>
      <xdr:colOff>200025</xdr:colOff>
      <xdr:row>38</xdr:row>
      <xdr:rowOff>0</xdr:rowOff>
    </xdr:to>
    <xdr:sp macro="" textlink="">
      <xdr:nvSpPr>
        <xdr:cNvPr id="1049" name="AutoShape 25" descr="025새박스아이콘">
          <a:hlinkClick xmlns:r="http://schemas.openxmlformats.org/officeDocument/2006/relationships" r:id="rId25" tooltip="피카츄 (포켓몬)"/>
          <a:extLst>
            <a:ext uri="{FF2B5EF4-FFF2-40B4-BE49-F238E27FC236}">
              <a16:creationId xmlns:a16="http://schemas.microsoft.com/office/drawing/2014/main" id="{486005D6-E73C-6CBB-0963-03DD928B38FF}"/>
            </a:ext>
          </a:extLst>
        </xdr:cNvPr>
        <xdr:cNvSpPr>
          <a:spLocks noChangeAspect="1" noChangeArrowheads="1"/>
        </xdr:cNvSpPr>
      </xdr:nvSpPr>
      <xdr:spPr bwMode="auto">
        <a:xfrm>
          <a:off x="685800" y="8258175"/>
          <a:ext cx="2000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238125</xdr:colOff>
      <xdr:row>39</xdr:row>
      <xdr:rowOff>19050</xdr:rowOff>
    </xdr:to>
    <xdr:sp macro="" textlink="">
      <xdr:nvSpPr>
        <xdr:cNvPr id="1050" name="AutoShape 26" descr="026새박스아이콘">
          <a:hlinkClick xmlns:r="http://schemas.openxmlformats.org/officeDocument/2006/relationships" r:id="rId26" tooltip="라이츄 (포켓몬)"/>
          <a:extLst>
            <a:ext uri="{FF2B5EF4-FFF2-40B4-BE49-F238E27FC236}">
              <a16:creationId xmlns:a16="http://schemas.microsoft.com/office/drawing/2014/main" id="{C97CFCE7-B339-C7EF-06EC-CE2C58EDC18D}"/>
            </a:ext>
          </a:extLst>
        </xdr:cNvPr>
        <xdr:cNvSpPr>
          <a:spLocks noChangeAspect="1" noChangeArrowheads="1"/>
        </xdr:cNvSpPr>
      </xdr:nvSpPr>
      <xdr:spPr bwMode="auto">
        <a:xfrm>
          <a:off x="685800" y="8448675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28575</xdr:rowOff>
    </xdr:from>
    <xdr:to>
      <xdr:col>1</xdr:col>
      <xdr:colOff>190500</xdr:colOff>
      <xdr:row>39</xdr:row>
      <xdr:rowOff>200025</xdr:rowOff>
    </xdr:to>
    <xdr:sp macro="" textlink="">
      <xdr:nvSpPr>
        <xdr:cNvPr id="1051" name="AutoShape 27" descr="027새박스아이콘">
          <a:hlinkClick xmlns:r="http://schemas.openxmlformats.org/officeDocument/2006/relationships" r:id="rId27" tooltip="모래두지 (포켓몬)"/>
          <a:extLst>
            <a:ext uri="{FF2B5EF4-FFF2-40B4-BE49-F238E27FC236}">
              <a16:creationId xmlns:a16="http://schemas.microsoft.com/office/drawing/2014/main" id="{5CE3AE4F-2BE8-EFB1-0B0F-3A5EFBAB0872}"/>
            </a:ext>
          </a:extLst>
        </xdr:cNvPr>
        <xdr:cNvSpPr>
          <a:spLocks noChangeAspect="1" noChangeArrowheads="1"/>
        </xdr:cNvSpPr>
      </xdr:nvSpPr>
      <xdr:spPr bwMode="auto">
        <a:xfrm>
          <a:off x="685800" y="86868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238125</xdr:colOff>
      <xdr:row>41</xdr:row>
      <xdr:rowOff>0</xdr:rowOff>
    </xdr:to>
    <xdr:sp macro="" textlink="">
      <xdr:nvSpPr>
        <xdr:cNvPr id="1052" name="AutoShape 28" descr="028새박스아이콘">
          <a:hlinkClick xmlns:r="http://schemas.openxmlformats.org/officeDocument/2006/relationships" r:id="rId28" tooltip="고지 (포켓몬)"/>
          <a:extLst>
            <a:ext uri="{FF2B5EF4-FFF2-40B4-BE49-F238E27FC236}">
              <a16:creationId xmlns:a16="http://schemas.microsoft.com/office/drawing/2014/main" id="{1265F6C0-DB0C-3E95-5BB4-ECFB8ECAF3E4}"/>
            </a:ext>
          </a:extLst>
        </xdr:cNvPr>
        <xdr:cNvSpPr>
          <a:spLocks noChangeAspect="1" noChangeArrowheads="1"/>
        </xdr:cNvSpPr>
      </xdr:nvSpPr>
      <xdr:spPr bwMode="auto">
        <a:xfrm>
          <a:off x="685800" y="8867775"/>
          <a:ext cx="2381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9525</xdr:rowOff>
    </xdr:from>
    <xdr:to>
      <xdr:col>1</xdr:col>
      <xdr:colOff>171450</xdr:colOff>
      <xdr:row>41</xdr:row>
      <xdr:rowOff>190500</xdr:rowOff>
    </xdr:to>
    <xdr:sp macro="" textlink="">
      <xdr:nvSpPr>
        <xdr:cNvPr id="1053" name="AutoShape 29" descr="029새박스아이콘">
          <a:hlinkClick xmlns:r="http://schemas.openxmlformats.org/officeDocument/2006/relationships" r:id="rId29" tooltip="니드런♀ (포켓몬)"/>
          <a:extLst>
            <a:ext uri="{FF2B5EF4-FFF2-40B4-BE49-F238E27FC236}">
              <a16:creationId xmlns:a16="http://schemas.microsoft.com/office/drawing/2014/main" id="{FE689BFF-25BD-B0A7-6A32-0005F63842EF}"/>
            </a:ext>
          </a:extLst>
        </xdr:cNvPr>
        <xdr:cNvSpPr>
          <a:spLocks noChangeAspect="1" noChangeArrowheads="1"/>
        </xdr:cNvSpPr>
      </xdr:nvSpPr>
      <xdr:spPr bwMode="auto">
        <a:xfrm>
          <a:off x="685800" y="9086850"/>
          <a:ext cx="1714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180975</xdr:colOff>
      <xdr:row>43</xdr:row>
      <xdr:rowOff>0</xdr:rowOff>
    </xdr:to>
    <xdr:sp macro="" textlink="">
      <xdr:nvSpPr>
        <xdr:cNvPr id="1054" name="AutoShape 30" descr="030새박스아이콘">
          <a:hlinkClick xmlns:r="http://schemas.openxmlformats.org/officeDocument/2006/relationships" r:id="rId30" tooltip="니드리나 (포켓몬)"/>
          <a:extLst>
            <a:ext uri="{FF2B5EF4-FFF2-40B4-BE49-F238E27FC236}">
              <a16:creationId xmlns:a16="http://schemas.microsoft.com/office/drawing/2014/main" id="{2A3E08EF-289F-C35A-ED4C-68AFE89D1982}"/>
            </a:ext>
          </a:extLst>
        </xdr:cNvPr>
        <xdr:cNvSpPr>
          <a:spLocks noChangeAspect="1" noChangeArrowheads="1"/>
        </xdr:cNvSpPr>
      </xdr:nvSpPr>
      <xdr:spPr bwMode="auto">
        <a:xfrm>
          <a:off x="685800" y="9286875"/>
          <a:ext cx="1809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9525</xdr:rowOff>
    </xdr:from>
    <xdr:to>
      <xdr:col>1</xdr:col>
      <xdr:colOff>219075</xdr:colOff>
      <xdr:row>44</xdr:row>
      <xdr:rowOff>19050</xdr:rowOff>
    </xdr:to>
    <xdr:sp macro="" textlink="">
      <xdr:nvSpPr>
        <xdr:cNvPr id="1055" name="AutoShape 31" descr="031새박스아이콘">
          <a:hlinkClick xmlns:r="http://schemas.openxmlformats.org/officeDocument/2006/relationships" r:id="rId31" tooltip="니드퀸 (포켓몬)"/>
          <a:extLst>
            <a:ext uri="{FF2B5EF4-FFF2-40B4-BE49-F238E27FC236}">
              <a16:creationId xmlns:a16="http://schemas.microsoft.com/office/drawing/2014/main" id="{BD00AFDC-7A39-C1D4-06AE-8F71052FF9CF}"/>
            </a:ext>
          </a:extLst>
        </xdr:cNvPr>
        <xdr:cNvSpPr>
          <a:spLocks noChangeAspect="1" noChangeArrowheads="1"/>
        </xdr:cNvSpPr>
      </xdr:nvSpPr>
      <xdr:spPr bwMode="auto">
        <a:xfrm>
          <a:off x="685800" y="9505950"/>
          <a:ext cx="2190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28575</xdr:rowOff>
    </xdr:from>
    <xdr:to>
      <xdr:col>1</xdr:col>
      <xdr:colOff>171450</xdr:colOff>
      <xdr:row>45</xdr:row>
      <xdr:rowOff>9525</xdr:rowOff>
    </xdr:to>
    <xdr:sp macro="" textlink="">
      <xdr:nvSpPr>
        <xdr:cNvPr id="1056" name="AutoShape 32" descr="032새박스아이콘">
          <a:hlinkClick xmlns:r="http://schemas.openxmlformats.org/officeDocument/2006/relationships" r:id="rId32" tooltip="니드런♂ (포켓몬)"/>
          <a:extLst>
            <a:ext uri="{FF2B5EF4-FFF2-40B4-BE49-F238E27FC236}">
              <a16:creationId xmlns:a16="http://schemas.microsoft.com/office/drawing/2014/main" id="{3C333868-E41F-4674-44AE-32406DC12528}"/>
            </a:ext>
          </a:extLst>
        </xdr:cNvPr>
        <xdr:cNvSpPr>
          <a:spLocks noChangeAspect="1" noChangeArrowheads="1"/>
        </xdr:cNvSpPr>
      </xdr:nvSpPr>
      <xdr:spPr bwMode="auto">
        <a:xfrm>
          <a:off x="685800" y="973455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180975</xdr:colOff>
      <xdr:row>46</xdr:row>
      <xdr:rowOff>0</xdr:rowOff>
    </xdr:to>
    <xdr:sp macro="" textlink="">
      <xdr:nvSpPr>
        <xdr:cNvPr id="1057" name="AutoShape 33" descr="033새박스아이콘">
          <a:hlinkClick xmlns:r="http://schemas.openxmlformats.org/officeDocument/2006/relationships" r:id="rId33" tooltip="니드리노 (포켓몬)"/>
          <a:extLst>
            <a:ext uri="{FF2B5EF4-FFF2-40B4-BE49-F238E27FC236}">
              <a16:creationId xmlns:a16="http://schemas.microsoft.com/office/drawing/2014/main" id="{0B65BDB9-9F69-D3DD-A80B-DF739B17ADBD}"/>
            </a:ext>
          </a:extLst>
        </xdr:cNvPr>
        <xdr:cNvSpPr>
          <a:spLocks noChangeAspect="1" noChangeArrowheads="1"/>
        </xdr:cNvSpPr>
      </xdr:nvSpPr>
      <xdr:spPr bwMode="auto">
        <a:xfrm>
          <a:off x="685800" y="9915525"/>
          <a:ext cx="1809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9525</xdr:rowOff>
    </xdr:from>
    <xdr:to>
      <xdr:col>1</xdr:col>
      <xdr:colOff>295275</xdr:colOff>
      <xdr:row>47</xdr:row>
      <xdr:rowOff>38100</xdr:rowOff>
    </xdr:to>
    <xdr:sp macro="" textlink="">
      <xdr:nvSpPr>
        <xdr:cNvPr id="1058" name="AutoShape 34" descr="034새박스아이콘">
          <a:hlinkClick xmlns:r="http://schemas.openxmlformats.org/officeDocument/2006/relationships" r:id="rId34" tooltip="니드킹 (포켓몬)"/>
          <a:extLst>
            <a:ext uri="{FF2B5EF4-FFF2-40B4-BE49-F238E27FC236}">
              <a16:creationId xmlns:a16="http://schemas.microsoft.com/office/drawing/2014/main" id="{FD1A26D0-0730-28B3-C3B6-E0FAF28519AE}"/>
            </a:ext>
          </a:extLst>
        </xdr:cNvPr>
        <xdr:cNvSpPr>
          <a:spLocks noChangeAspect="1" noChangeArrowheads="1"/>
        </xdr:cNvSpPr>
      </xdr:nvSpPr>
      <xdr:spPr bwMode="auto">
        <a:xfrm>
          <a:off x="685800" y="10134600"/>
          <a:ext cx="2952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47625</xdr:rowOff>
    </xdr:from>
    <xdr:to>
      <xdr:col>1</xdr:col>
      <xdr:colOff>171450</xdr:colOff>
      <xdr:row>48</xdr:row>
      <xdr:rowOff>19050</xdr:rowOff>
    </xdr:to>
    <xdr:sp macro="" textlink="">
      <xdr:nvSpPr>
        <xdr:cNvPr id="1059" name="AutoShape 35" descr="035새박스아이콘">
          <a:hlinkClick xmlns:r="http://schemas.openxmlformats.org/officeDocument/2006/relationships" r:id="rId35" tooltip="삐삐 (포켓몬)"/>
          <a:extLst>
            <a:ext uri="{FF2B5EF4-FFF2-40B4-BE49-F238E27FC236}">
              <a16:creationId xmlns:a16="http://schemas.microsoft.com/office/drawing/2014/main" id="{4F39D032-4401-1BB9-5B12-D398C3626ACE}"/>
            </a:ext>
          </a:extLst>
        </xdr:cNvPr>
        <xdr:cNvSpPr>
          <a:spLocks noChangeAspect="1" noChangeArrowheads="1"/>
        </xdr:cNvSpPr>
      </xdr:nvSpPr>
      <xdr:spPr bwMode="auto">
        <a:xfrm>
          <a:off x="685800" y="10382250"/>
          <a:ext cx="1714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190500</xdr:colOff>
      <xdr:row>49</xdr:row>
      <xdr:rowOff>9525</xdr:rowOff>
    </xdr:to>
    <xdr:sp macro="" textlink="">
      <xdr:nvSpPr>
        <xdr:cNvPr id="1060" name="AutoShape 36" descr="036새박스아이콘">
          <a:hlinkClick xmlns:r="http://schemas.openxmlformats.org/officeDocument/2006/relationships" r:id="rId36" tooltip="픽시 (포켓몬)"/>
          <a:extLst>
            <a:ext uri="{FF2B5EF4-FFF2-40B4-BE49-F238E27FC236}">
              <a16:creationId xmlns:a16="http://schemas.microsoft.com/office/drawing/2014/main" id="{6D7C57A4-5E75-E6C7-34FD-BAA21ABCF5D2}"/>
            </a:ext>
          </a:extLst>
        </xdr:cNvPr>
        <xdr:cNvSpPr>
          <a:spLocks noChangeAspect="1" noChangeArrowheads="1"/>
        </xdr:cNvSpPr>
      </xdr:nvSpPr>
      <xdr:spPr bwMode="auto">
        <a:xfrm>
          <a:off x="685800" y="10544175"/>
          <a:ext cx="1905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19050</xdr:rowOff>
    </xdr:from>
    <xdr:to>
      <xdr:col>1</xdr:col>
      <xdr:colOff>190500</xdr:colOff>
      <xdr:row>50</xdr:row>
      <xdr:rowOff>0</xdr:rowOff>
    </xdr:to>
    <xdr:sp macro="" textlink="">
      <xdr:nvSpPr>
        <xdr:cNvPr id="1061" name="AutoShape 37" descr="037새박스아이콘">
          <a:hlinkClick xmlns:r="http://schemas.openxmlformats.org/officeDocument/2006/relationships" r:id="rId37" tooltip="식스테일 (포켓몬)"/>
          <a:extLst>
            <a:ext uri="{FF2B5EF4-FFF2-40B4-BE49-F238E27FC236}">
              <a16:creationId xmlns:a16="http://schemas.microsoft.com/office/drawing/2014/main" id="{5287D756-88B2-586E-B105-C64DDCDDEA5F}"/>
            </a:ext>
          </a:extLst>
        </xdr:cNvPr>
        <xdr:cNvSpPr>
          <a:spLocks noChangeAspect="1" noChangeArrowheads="1"/>
        </xdr:cNvSpPr>
      </xdr:nvSpPr>
      <xdr:spPr bwMode="auto">
        <a:xfrm>
          <a:off x="685800" y="107727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228600</xdr:colOff>
      <xdr:row>51</xdr:row>
      <xdr:rowOff>9525</xdr:rowOff>
    </xdr:to>
    <xdr:sp macro="" textlink="">
      <xdr:nvSpPr>
        <xdr:cNvPr id="1062" name="AutoShape 38" descr="038새박스아이콘">
          <a:hlinkClick xmlns:r="http://schemas.openxmlformats.org/officeDocument/2006/relationships" r:id="rId38" tooltip="나인테일 (포켓몬)"/>
          <a:extLst>
            <a:ext uri="{FF2B5EF4-FFF2-40B4-BE49-F238E27FC236}">
              <a16:creationId xmlns:a16="http://schemas.microsoft.com/office/drawing/2014/main" id="{2FA5A1B1-FBF7-06ED-4E00-76ED72BBE419}"/>
            </a:ext>
          </a:extLst>
        </xdr:cNvPr>
        <xdr:cNvSpPr>
          <a:spLocks noChangeAspect="1" noChangeArrowheads="1"/>
        </xdr:cNvSpPr>
      </xdr:nvSpPr>
      <xdr:spPr bwMode="auto">
        <a:xfrm>
          <a:off x="685800" y="10963275"/>
          <a:ext cx="2286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19050</xdr:rowOff>
    </xdr:from>
    <xdr:to>
      <xdr:col>1</xdr:col>
      <xdr:colOff>171450</xdr:colOff>
      <xdr:row>52</xdr:row>
      <xdr:rowOff>0</xdr:rowOff>
    </xdr:to>
    <xdr:sp macro="" textlink="">
      <xdr:nvSpPr>
        <xdr:cNvPr id="1063" name="AutoShape 39" descr="039새박스아이콘">
          <a:hlinkClick xmlns:r="http://schemas.openxmlformats.org/officeDocument/2006/relationships" r:id="rId39" tooltip="푸린 (포켓몬)"/>
          <a:extLst>
            <a:ext uri="{FF2B5EF4-FFF2-40B4-BE49-F238E27FC236}">
              <a16:creationId xmlns:a16="http://schemas.microsoft.com/office/drawing/2014/main" id="{322AD02B-5365-9310-67C8-F16E3A4189D8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19187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161925</xdr:colOff>
      <xdr:row>53</xdr:row>
      <xdr:rowOff>28575</xdr:rowOff>
    </xdr:to>
    <xdr:sp macro="" textlink="">
      <xdr:nvSpPr>
        <xdr:cNvPr id="1064" name="AutoShape 40" descr="040새박스아이콘">
          <a:hlinkClick xmlns:r="http://schemas.openxmlformats.org/officeDocument/2006/relationships" r:id="rId40" tooltip="푸크린 (포켓몬)"/>
          <a:extLst>
            <a:ext uri="{FF2B5EF4-FFF2-40B4-BE49-F238E27FC236}">
              <a16:creationId xmlns:a16="http://schemas.microsoft.com/office/drawing/2014/main" id="{9DD9769C-B208-E572-9EF6-7C5367444E66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382375"/>
          <a:ext cx="1619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38100</xdr:rowOff>
    </xdr:from>
    <xdr:to>
      <xdr:col>1</xdr:col>
      <xdr:colOff>200025</xdr:colOff>
      <xdr:row>54</xdr:row>
      <xdr:rowOff>19050</xdr:rowOff>
    </xdr:to>
    <xdr:sp macro="" textlink="">
      <xdr:nvSpPr>
        <xdr:cNvPr id="1065" name="AutoShape 41" descr="041새박스아이콘">
          <a:hlinkClick xmlns:r="http://schemas.openxmlformats.org/officeDocument/2006/relationships" r:id="rId41" tooltip="주뱃 (포켓몬)"/>
          <a:extLst>
            <a:ext uri="{FF2B5EF4-FFF2-40B4-BE49-F238E27FC236}">
              <a16:creationId xmlns:a16="http://schemas.microsoft.com/office/drawing/2014/main" id="{810B7710-1C69-D697-D0BF-F51FF38ACE1E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630025"/>
          <a:ext cx="2000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247650</xdr:colOff>
      <xdr:row>55</xdr:row>
      <xdr:rowOff>0</xdr:rowOff>
    </xdr:to>
    <xdr:sp macro="" textlink="">
      <xdr:nvSpPr>
        <xdr:cNvPr id="1066" name="AutoShape 42" descr="042새박스아이콘">
          <a:hlinkClick xmlns:r="http://schemas.openxmlformats.org/officeDocument/2006/relationships" r:id="rId42" tooltip="골뱃 (포켓몬)"/>
          <a:extLst>
            <a:ext uri="{FF2B5EF4-FFF2-40B4-BE49-F238E27FC236}">
              <a16:creationId xmlns:a16="http://schemas.microsoft.com/office/drawing/2014/main" id="{610A672B-BE14-B26B-25BF-1B05A07D6089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801475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9525</xdr:rowOff>
    </xdr:from>
    <xdr:to>
      <xdr:col>1</xdr:col>
      <xdr:colOff>161925</xdr:colOff>
      <xdr:row>55</xdr:row>
      <xdr:rowOff>190500</xdr:rowOff>
    </xdr:to>
    <xdr:sp macro="" textlink="">
      <xdr:nvSpPr>
        <xdr:cNvPr id="1067" name="AutoShape 43" descr="043새박스아이콘">
          <a:hlinkClick xmlns:r="http://schemas.openxmlformats.org/officeDocument/2006/relationships" r:id="rId43" tooltip="뚜벅쵸 (포켓몬)"/>
          <a:extLst>
            <a:ext uri="{FF2B5EF4-FFF2-40B4-BE49-F238E27FC236}">
              <a16:creationId xmlns:a16="http://schemas.microsoft.com/office/drawing/2014/main" id="{AF4F7EC6-7CE8-6340-04AF-53A1D7D462B6}"/>
            </a:ext>
          </a:extLst>
        </xdr:cNvPr>
        <xdr:cNvSpPr>
          <a:spLocks noChangeAspect="1" noChangeArrowheads="1"/>
        </xdr:cNvSpPr>
      </xdr:nvSpPr>
      <xdr:spPr bwMode="auto">
        <a:xfrm>
          <a:off x="685800" y="12020550"/>
          <a:ext cx="1619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209550</xdr:colOff>
      <xdr:row>56</xdr:row>
      <xdr:rowOff>200025</xdr:rowOff>
    </xdr:to>
    <xdr:sp macro="" textlink="">
      <xdr:nvSpPr>
        <xdr:cNvPr id="1068" name="AutoShape 44" descr="044새박스아이콘">
          <a:hlinkClick xmlns:r="http://schemas.openxmlformats.org/officeDocument/2006/relationships" r:id="rId44" tooltip="냄새꼬 (포켓몬)"/>
          <a:extLst>
            <a:ext uri="{FF2B5EF4-FFF2-40B4-BE49-F238E27FC236}">
              <a16:creationId xmlns:a16="http://schemas.microsoft.com/office/drawing/2014/main" id="{13420FD6-10AC-54AF-B2B1-F8274CBD05EC}"/>
            </a:ext>
          </a:extLst>
        </xdr:cNvPr>
        <xdr:cNvSpPr>
          <a:spLocks noChangeAspect="1" noChangeArrowheads="1"/>
        </xdr:cNvSpPr>
      </xdr:nvSpPr>
      <xdr:spPr bwMode="auto">
        <a:xfrm>
          <a:off x="685800" y="12220575"/>
          <a:ext cx="2095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209550</xdr:colOff>
      <xdr:row>57</xdr:row>
      <xdr:rowOff>219075</xdr:rowOff>
    </xdr:to>
    <xdr:sp macro="" textlink="">
      <xdr:nvSpPr>
        <xdr:cNvPr id="1069" name="AutoShape 45" descr="045새박스아이콘">
          <a:hlinkClick xmlns:r="http://schemas.openxmlformats.org/officeDocument/2006/relationships" r:id="rId45" tooltip="라플레시아 (포켓몬)"/>
          <a:extLst>
            <a:ext uri="{FF2B5EF4-FFF2-40B4-BE49-F238E27FC236}">
              <a16:creationId xmlns:a16="http://schemas.microsoft.com/office/drawing/2014/main" id="{FC532CC4-57C0-7EFC-525E-FE71F43A80B0}"/>
            </a:ext>
          </a:extLst>
        </xdr:cNvPr>
        <xdr:cNvSpPr>
          <a:spLocks noChangeAspect="1" noChangeArrowheads="1"/>
        </xdr:cNvSpPr>
      </xdr:nvSpPr>
      <xdr:spPr bwMode="auto">
        <a:xfrm>
          <a:off x="685800" y="124301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19050</xdr:rowOff>
    </xdr:from>
    <xdr:to>
      <xdr:col>1</xdr:col>
      <xdr:colOff>209550</xdr:colOff>
      <xdr:row>59</xdr:row>
      <xdr:rowOff>0</xdr:rowOff>
    </xdr:to>
    <xdr:sp macro="" textlink="">
      <xdr:nvSpPr>
        <xdr:cNvPr id="1070" name="AutoShape 46" descr="046새박스아이콘">
          <a:hlinkClick xmlns:r="http://schemas.openxmlformats.org/officeDocument/2006/relationships" r:id="rId46" tooltip="파라스 (포켓몬)"/>
          <a:extLst>
            <a:ext uri="{FF2B5EF4-FFF2-40B4-BE49-F238E27FC236}">
              <a16:creationId xmlns:a16="http://schemas.microsoft.com/office/drawing/2014/main" id="{813ECADD-588C-5153-76A9-9C444F43541E}"/>
            </a:ext>
          </a:extLst>
        </xdr:cNvPr>
        <xdr:cNvSpPr>
          <a:spLocks noChangeAspect="1" noChangeArrowheads="1"/>
        </xdr:cNvSpPr>
      </xdr:nvSpPr>
      <xdr:spPr bwMode="auto">
        <a:xfrm>
          <a:off x="685800" y="12868275"/>
          <a:ext cx="2095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209550</xdr:colOff>
      <xdr:row>60</xdr:row>
      <xdr:rowOff>0</xdr:rowOff>
    </xdr:to>
    <xdr:sp macro="" textlink="">
      <xdr:nvSpPr>
        <xdr:cNvPr id="1071" name="AutoShape 47" descr="047새박스아이콘">
          <a:hlinkClick xmlns:r="http://schemas.openxmlformats.org/officeDocument/2006/relationships" r:id="rId47" tooltip="파라섹트 (포켓몬)"/>
          <a:extLst>
            <a:ext uri="{FF2B5EF4-FFF2-40B4-BE49-F238E27FC236}">
              <a16:creationId xmlns:a16="http://schemas.microsoft.com/office/drawing/2014/main" id="{BD6D5CD2-4423-6E0F-8BEE-27EDD26B7B8B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058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9525</xdr:rowOff>
    </xdr:from>
    <xdr:to>
      <xdr:col>1</xdr:col>
      <xdr:colOff>161925</xdr:colOff>
      <xdr:row>61</xdr:row>
      <xdr:rowOff>47625</xdr:rowOff>
    </xdr:to>
    <xdr:sp macro="" textlink="">
      <xdr:nvSpPr>
        <xdr:cNvPr id="1072" name="AutoShape 48" descr="048새박스아이콘">
          <a:hlinkClick xmlns:r="http://schemas.openxmlformats.org/officeDocument/2006/relationships" r:id="rId48" tooltip="콘팡 (포켓몬)"/>
          <a:extLst>
            <a:ext uri="{FF2B5EF4-FFF2-40B4-BE49-F238E27FC236}">
              <a16:creationId xmlns:a16="http://schemas.microsoft.com/office/drawing/2014/main" id="{5B5E9974-EC28-AB65-E822-C70BEE101590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277850"/>
          <a:ext cx="1619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57150</xdr:rowOff>
    </xdr:from>
    <xdr:to>
      <xdr:col>1</xdr:col>
      <xdr:colOff>219075</xdr:colOff>
      <xdr:row>62</xdr:row>
      <xdr:rowOff>76200</xdr:rowOff>
    </xdr:to>
    <xdr:sp macro="" textlink="">
      <xdr:nvSpPr>
        <xdr:cNvPr id="1073" name="AutoShape 49" descr="049새박스아이콘">
          <a:hlinkClick xmlns:r="http://schemas.openxmlformats.org/officeDocument/2006/relationships" r:id="rId49" tooltip="도나리 (포켓몬)"/>
          <a:extLst>
            <a:ext uri="{FF2B5EF4-FFF2-40B4-BE49-F238E27FC236}">
              <a16:creationId xmlns:a16="http://schemas.microsoft.com/office/drawing/2014/main" id="{488B85F2-EB59-CE9C-189B-8BE6442283F0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535025"/>
          <a:ext cx="21907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85725</xdr:rowOff>
    </xdr:from>
    <xdr:to>
      <xdr:col>1</xdr:col>
      <xdr:colOff>142875</xdr:colOff>
      <xdr:row>63</xdr:row>
      <xdr:rowOff>9525</xdr:rowOff>
    </xdr:to>
    <xdr:sp macro="" textlink="">
      <xdr:nvSpPr>
        <xdr:cNvPr id="1074" name="AutoShape 50" descr="050새박스아이콘">
          <a:hlinkClick xmlns:r="http://schemas.openxmlformats.org/officeDocument/2006/relationships" r:id="rId50" tooltip="디그다 (포켓몬)"/>
          <a:extLst>
            <a:ext uri="{FF2B5EF4-FFF2-40B4-BE49-F238E27FC236}">
              <a16:creationId xmlns:a16="http://schemas.microsoft.com/office/drawing/2014/main" id="{98DAFCCF-BE90-9EA0-282C-6987D9925605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773150"/>
          <a:ext cx="1428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209550</xdr:colOff>
      <xdr:row>64</xdr:row>
      <xdr:rowOff>0</xdr:rowOff>
    </xdr:to>
    <xdr:sp macro="" textlink="">
      <xdr:nvSpPr>
        <xdr:cNvPr id="1075" name="AutoShape 51" descr="051새박스아이콘">
          <a:hlinkClick xmlns:r="http://schemas.openxmlformats.org/officeDocument/2006/relationships" r:id="rId51" tooltip="닥트리오 (포켓몬)"/>
          <a:extLst>
            <a:ext uri="{FF2B5EF4-FFF2-40B4-BE49-F238E27FC236}">
              <a16:creationId xmlns:a16="http://schemas.microsoft.com/office/drawing/2014/main" id="{265DCB78-1820-B45A-6DD6-A24C397147C1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896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9525</xdr:rowOff>
    </xdr:from>
    <xdr:to>
      <xdr:col>1</xdr:col>
      <xdr:colOff>200025</xdr:colOff>
      <xdr:row>65</xdr:row>
      <xdr:rowOff>0</xdr:rowOff>
    </xdr:to>
    <xdr:sp macro="" textlink="">
      <xdr:nvSpPr>
        <xdr:cNvPr id="1076" name="AutoShape 52" descr="052새박스아이콘">
          <a:hlinkClick xmlns:r="http://schemas.openxmlformats.org/officeDocument/2006/relationships" r:id="rId52" tooltip="나옹 (포켓몬)"/>
          <a:extLst>
            <a:ext uri="{FF2B5EF4-FFF2-40B4-BE49-F238E27FC236}">
              <a16:creationId xmlns:a16="http://schemas.microsoft.com/office/drawing/2014/main" id="{DE6AE7B6-7DFF-46D3-B21F-73ECA25D0467}"/>
            </a:ext>
          </a:extLst>
        </xdr:cNvPr>
        <xdr:cNvSpPr>
          <a:spLocks noChangeAspect="1" noChangeArrowheads="1"/>
        </xdr:cNvSpPr>
      </xdr:nvSpPr>
      <xdr:spPr bwMode="auto">
        <a:xfrm>
          <a:off x="685800" y="141160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219075</xdr:colOff>
      <xdr:row>66</xdr:row>
      <xdr:rowOff>0</xdr:rowOff>
    </xdr:to>
    <xdr:sp macro="" textlink="">
      <xdr:nvSpPr>
        <xdr:cNvPr id="1077" name="AutoShape 53" descr="053새박스아이콘">
          <a:hlinkClick xmlns:r="http://schemas.openxmlformats.org/officeDocument/2006/relationships" r:id="rId53" tooltip="페르시온 (포켓몬)"/>
          <a:extLst>
            <a:ext uri="{FF2B5EF4-FFF2-40B4-BE49-F238E27FC236}">
              <a16:creationId xmlns:a16="http://schemas.microsoft.com/office/drawing/2014/main" id="{116D6AAC-5894-5E2B-C8C6-D82487CC73F3}"/>
            </a:ext>
          </a:extLst>
        </xdr:cNvPr>
        <xdr:cNvSpPr>
          <a:spLocks noChangeAspect="1" noChangeArrowheads="1"/>
        </xdr:cNvSpPr>
      </xdr:nvSpPr>
      <xdr:spPr bwMode="auto">
        <a:xfrm>
          <a:off x="685800" y="14316075"/>
          <a:ext cx="2190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9525</xdr:rowOff>
    </xdr:from>
    <xdr:to>
      <xdr:col>1</xdr:col>
      <xdr:colOff>171450</xdr:colOff>
      <xdr:row>67</xdr:row>
      <xdr:rowOff>0</xdr:rowOff>
    </xdr:to>
    <xdr:sp macro="" textlink="">
      <xdr:nvSpPr>
        <xdr:cNvPr id="1078" name="AutoShape 54" descr="054새박스아이콘">
          <a:hlinkClick xmlns:r="http://schemas.openxmlformats.org/officeDocument/2006/relationships" r:id="rId54" tooltip="고라파덕 (포켓몬)"/>
          <a:extLst>
            <a:ext uri="{FF2B5EF4-FFF2-40B4-BE49-F238E27FC236}">
              <a16:creationId xmlns:a16="http://schemas.microsoft.com/office/drawing/2014/main" id="{F70E2171-1873-0284-9FA1-EC141D36A43F}"/>
            </a:ext>
          </a:extLst>
        </xdr:cNvPr>
        <xdr:cNvSpPr>
          <a:spLocks noChangeAspect="1" noChangeArrowheads="1"/>
        </xdr:cNvSpPr>
      </xdr:nvSpPr>
      <xdr:spPr bwMode="auto">
        <a:xfrm>
          <a:off x="685800" y="14535150"/>
          <a:ext cx="1714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238125</xdr:colOff>
      <xdr:row>67</xdr:row>
      <xdr:rowOff>200025</xdr:rowOff>
    </xdr:to>
    <xdr:sp macro="" textlink="">
      <xdr:nvSpPr>
        <xdr:cNvPr id="1079" name="AutoShape 55" descr="055새박스아이콘">
          <a:hlinkClick xmlns:r="http://schemas.openxmlformats.org/officeDocument/2006/relationships" r:id="rId55" tooltip="골덕 (포켓몬)"/>
          <a:extLst>
            <a:ext uri="{FF2B5EF4-FFF2-40B4-BE49-F238E27FC236}">
              <a16:creationId xmlns:a16="http://schemas.microsoft.com/office/drawing/2014/main" id="{22C4223D-6493-9DA7-2DD5-161DC79F1AB8}"/>
            </a:ext>
          </a:extLst>
        </xdr:cNvPr>
        <xdr:cNvSpPr>
          <a:spLocks noChangeAspect="1" noChangeArrowheads="1"/>
        </xdr:cNvSpPr>
      </xdr:nvSpPr>
      <xdr:spPr bwMode="auto">
        <a:xfrm>
          <a:off x="685800" y="14735175"/>
          <a:ext cx="238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266700</xdr:colOff>
      <xdr:row>68</xdr:row>
      <xdr:rowOff>190500</xdr:rowOff>
    </xdr:to>
    <xdr:sp macro="" textlink="">
      <xdr:nvSpPr>
        <xdr:cNvPr id="1080" name="AutoShape 56" descr="056새박스아이콘">
          <a:hlinkClick xmlns:r="http://schemas.openxmlformats.org/officeDocument/2006/relationships" r:id="rId56" tooltip="망키 (포켓몬)"/>
          <a:extLst>
            <a:ext uri="{FF2B5EF4-FFF2-40B4-BE49-F238E27FC236}">
              <a16:creationId xmlns:a16="http://schemas.microsoft.com/office/drawing/2014/main" id="{C4849720-AC28-2045-954B-7D86DD50ED2C}"/>
            </a:ext>
          </a:extLst>
        </xdr:cNvPr>
        <xdr:cNvSpPr>
          <a:spLocks noChangeAspect="1" noChangeArrowheads="1"/>
        </xdr:cNvSpPr>
      </xdr:nvSpPr>
      <xdr:spPr bwMode="auto">
        <a:xfrm>
          <a:off x="685800" y="14944725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266700</xdr:colOff>
      <xdr:row>70</xdr:row>
      <xdr:rowOff>9525</xdr:rowOff>
    </xdr:to>
    <xdr:sp macro="" textlink="">
      <xdr:nvSpPr>
        <xdr:cNvPr id="1081" name="AutoShape 57" descr="057새박스아이콘">
          <a:hlinkClick xmlns:r="http://schemas.openxmlformats.org/officeDocument/2006/relationships" r:id="rId57" tooltip="성원숭 (포켓몬)"/>
          <a:extLst>
            <a:ext uri="{FF2B5EF4-FFF2-40B4-BE49-F238E27FC236}">
              <a16:creationId xmlns:a16="http://schemas.microsoft.com/office/drawing/2014/main" id="{AB513AE9-12A3-A288-2B1D-0DB953519BB1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154275"/>
          <a:ext cx="2667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19050</xdr:rowOff>
    </xdr:from>
    <xdr:to>
      <xdr:col>1</xdr:col>
      <xdr:colOff>200025</xdr:colOff>
      <xdr:row>71</xdr:row>
      <xdr:rowOff>19050</xdr:rowOff>
    </xdr:to>
    <xdr:sp macro="" textlink="">
      <xdr:nvSpPr>
        <xdr:cNvPr id="1082" name="AutoShape 58" descr="058새박스아이콘">
          <a:hlinkClick xmlns:r="http://schemas.openxmlformats.org/officeDocument/2006/relationships" r:id="rId58" tooltip="가디 (포켓몬)"/>
          <a:extLst>
            <a:ext uri="{FF2B5EF4-FFF2-40B4-BE49-F238E27FC236}">
              <a16:creationId xmlns:a16="http://schemas.microsoft.com/office/drawing/2014/main" id="{1B8CE29A-DBB9-42B2-E6AB-688516375C8E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82875"/>
          <a:ext cx="2000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28575</xdr:rowOff>
    </xdr:from>
    <xdr:to>
      <xdr:col>1</xdr:col>
      <xdr:colOff>276225</xdr:colOff>
      <xdr:row>72</xdr:row>
      <xdr:rowOff>76200</xdr:rowOff>
    </xdr:to>
    <xdr:sp macro="" textlink="">
      <xdr:nvSpPr>
        <xdr:cNvPr id="1083" name="AutoShape 59" descr="059새박스아이콘">
          <a:hlinkClick xmlns:r="http://schemas.openxmlformats.org/officeDocument/2006/relationships" r:id="rId59" tooltip="윈디 (포켓몬)"/>
          <a:extLst>
            <a:ext uri="{FF2B5EF4-FFF2-40B4-BE49-F238E27FC236}">
              <a16:creationId xmlns:a16="http://schemas.microsoft.com/office/drawing/2014/main" id="{135A5839-EEFA-0D87-DB3B-009ABC6B7FCE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601950"/>
          <a:ext cx="27622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85725</xdr:rowOff>
    </xdr:from>
    <xdr:to>
      <xdr:col>1</xdr:col>
      <xdr:colOff>190500</xdr:colOff>
      <xdr:row>73</xdr:row>
      <xdr:rowOff>19050</xdr:rowOff>
    </xdr:to>
    <xdr:sp macro="" textlink="">
      <xdr:nvSpPr>
        <xdr:cNvPr id="1084" name="AutoShape 60" descr="060새박스아이콘">
          <a:hlinkClick xmlns:r="http://schemas.openxmlformats.org/officeDocument/2006/relationships" r:id="rId60" tooltip="발챙이 (포켓몬)"/>
          <a:extLst>
            <a:ext uri="{FF2B5EF4-FFF2-40B4-BE49-F238E27FC236}">
              <a16:creationId xmlns:a16="http://schemas.microsoft.com/office/drawing/2014/main" id="{BCDF818B-95EA-CF91-7688-D640AA163220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868650"/>
          <a:ext cx="1905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209550</xdr:colOff>
      <xdr:row>73</xdr:row>
      <xdr:rowOff>180975</xdr:rowOff>
    </xdr:to>
    <xdr:sp macro="" textlink="">
      <xdr:nvSpPr>
        <xdr:cNvPr id="1085" name="AutoShape 61" descr="061새박스아이콘">
          <a:hlinkClick xmlns:r="http://schemas.openxmlformats.org/officeDocument/2006/relationships" r:id="rId61" tooltip="슈륙챙이 (포켓몬)"/>
          <a:extLst>
            <a:ext uri="{FF2B5EF4-FFF2-40B4-BE49-F238E27FC236}">
              <a16:creationId xmlns:a16="http://schemas.microsoft.com/office/drawing/2014/main" id="{546BA3FC-60DC-34C6-9D9C-7F1FE6CFFDDC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992475"/>
          <a:ext cx="2095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276225</xdr:colOff>
      <xdr:row>74</xdr:row>
      <xdr:rowOff>200025</xdr:rowOff>
    </xdr:to>
    <xdr:sp macro="" textlink="">
      <xdr:nvSpPr>
        <xdr:cNvPr id="1086" name="AutoShape 62" descr="062새박스아이콘">
          <a:hlinkClick xmlns:r="http://schemas.openxmlformats.org/officeDocument/2006/relationships" r:id="rId62" tooltip="강챙이 (포켓몬)"/>
          <a:extLst>
            <a:ext uri="{FF2B5EF4-FFF2-40B4-BE49-F238E27FC236}">
              <a16:creationId xmlns:a16="http://schemas.microsoft.com/office/drawing/2014/main" id="{46AD63B2-48EE-C5F6-9543-68B7B2527A41}"/>
            </a:ext>
          </a:extLst>
        </xdr:cNvPr>
        <xdr:cNvSpPr>
          <a:spLocks noChangeAspect="1" noChangeArrowheads="1"/>
        </xdr:cNvSpPr>
      </xdr:nvSpPr>
      <xdr:spPr bwMode="auto">
        <a:xfrm>
          <a:off x="685800" y="16202025"/>
          <a:ext cx="2762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219075</xdr:colOff>
      <xdr:row>75</xdr:row>
      <xdr:rowOff>200025</xdr:rowOff>
    </xdr:to>
    <xdr:sp macro="" textlink="">
      <xdr:nvSpPr>
        <xdr:cNvPr id="1087" name="AutoShape 63" descr="063새박스아이콘">
          <a:hlinkClick xmlns:r="http://schemas.openxmlformats.org/officeDocument/2006/relationships" r:id="rId63" tooltip="캐이시 (포켓몬)"/>
          <a:extLst>
            <a:ext uri="{FF2B5EF4-FFF2-40B4-BE49-F238E27FC236}">
              <a16:creationId xmlns:a16="http://schemas.microsoft.com/office/drawing/2014/main" id="{84842E4C-34F9-67A6-FC42-A6BBF2B5BCDF}"/>
            </a:ext>
          </a:extLst>
        </xdr:cNvPr>
        <xdr:cNvSpPr>
          <a:spLocks noChangeAspect="1" noChangeArrowheads="1"/>
        </xdr:cNvSpPr>
      </xdr:nvSpPr>
      <xdr:spPr bwMode="auto">
        <a:xfrm>
          <a:off x="685800" y="16411575"/>
          <a:ext cx="2190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276225</xdr:colOff>
      <xdr:row>77</xdr:row>
      <xdr:rowOff>28575</xdr:rowOff>
    </xdr:to>
    <xdr:sp macro="" textlink="">
      <xdr:nvSpPr>
        <xdr:cNvPr id="1088" name="AutoShape 64" descr="064새박스아이콘">
          <a:hlinkClick xmlns:r="http://schemas.openxmlformats.org/officeDocument/2006/relationships" r:id="rId64" tooltip="윤겔라 (포켓몬)"/>
          <a:extLst>
            <a:ext uri="{FF2B5EF4-FFF2-40B4-BE49-F238E27FC236}">
              <a16:creationId xmlns:a16="http://schemas.microsoft.com/office/drawing/2014/main" id="{D4E96FB8-46BB-B3F5-9D50-6B954B704F6B}"/>
            </a:ext>
          </a:extLst>
        </xdr:cNvPr>
        <xdr:cNvSpPr>
          <a:spLocks noChangeAspect="1" noChangeArrowheads="1"/>
        </xdr:cNvSpPr>
      </xdr:nvSpPr>
      <xdr:spPr bwMode="auto">
        <a:xfrm>
          <a:off x="685800" y="16621125"/>
          <a:ext cx="2762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38100</xdr:rowOff>
    </xdr:from>
    <xdr:to>
      <xdr:col>1</xdr:col>
      <xdr:colOff>295275</xdr:colOff>
      <xdr:row>78</xdr:row>
      <xdr:rowOff>85725</xdr:rowOff>
    </xdr:to>
    <xdr:sp macro="" textlink="">
      <xdr:nvSpPr>
        <xdr:cNvPr id="1089" name="AutoShape 65" descr="065새박스아이콘">
          <a:hlinkClick xmlns:r="http://schemas.openxmlformats.org/officeDocument/2006/relationships" r:id="rId65" tooltip="후딘 (포켓몬)"/>
          <a:extLst>
            <a:ext uri="{FF2B5EF4-FFF2-40B4-BE49-F238E27FC236}">
              <a16:creationId xmlns:a16="http://schemas.microsoft.com/office/drawing/2014/main" id="{2D41AAA3-101C-FA7B-6449-F61555ED255C}"/>
            </a:ext>
          </a:extLst>
        </xdr:cNvPr>
        <xdr:cNvSpPr>
          <a:spLocks noChangeAspect="1" noChangeArrowheads="1"/>
        </xdr:cNvSpPr>
      </xdr:nvSpPr>
      <xdr:spPr bwMode="auto">
        <a:xfrm>
          <a:off x="685800" y="16868775"/>
          <a:ext cx="2952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95250</xdr:rowOff>
    </xdr:from>
    <xdr:to>
      <xdr:col>1</xdr:col>
      <xdr:colOff>152400</xdr:colOff>
      <xdr:row>79</xdr:row>
      <xdr:rowOff>76200</xdr:rowOff>
    </xdr:to>
    <xdr:sp macro="" textlink="">
      <xdr:nvSpPr>
        <xdr:cNvPr id="1090" name="AutoShape 66" descr="066새박스아이콘">
          <a:hlinkClick xmlns:r="http://schemas.openxmlformats.org/officeDocument/2006/relationships" r:id="rId66" tooltip="알통몬 (포켓몬)"/>
          <a:extLst>
            <a:ext uri="{FF2B5EF4-FFF2-40B4-BE49-F238E27FC236}">
              <a16:creationId xmlns:a16="http://schemas.microsoft.com/office/drawing/2014/main" id="{0E1189F9-DDB5-5AE1-A1B2-F4EABE0A8879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35475"/>
          <a:ext cx="15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247650</xdr:colOff>
      <xdr:row>80</xdr:row>
      <xdr:rowOff>0</xdr:rowOff>
    </xdr:to>
    <xdr:sp macro="" textlink="">
      <xdr:nvSpPr>
        <xdr:cNvPr id="1091" name="AutoShape 67" descr="067새박스아이콘">
          <a:hlinkClick xmlns:r="http://schemas.openxmlformats.org/officeDocument/2006/relationships" r:id="rId67" tooltip="근육몬 (포켓몬)"/>
          <a:extLst>
            <a:ext uri="{FF2B5EF4-FFF2-40B4-BE49-F238E27FC236}">
              <a16:creationId xmlns:a16="http://schemas.microsoft.com/office/drawing/2014/main" id="{275B1EAA-A24B-CDA1-F52A-5C5D2B6C4EE8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249775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9525</xdr:rowOff>
    </xdr:from>
    <xdr:to>
      <xdr:col>1</xdr:col>
      <xdr:colOff>257175</xdr:colOff>
      <xdr:row>81</xdr:row>
      <xdr:rowOff>9525</xdr:rowOff>
    </xdr:to>
    <xdr:sp macro="" textlink="">
      <xdr:nvSpPr>
        <xdr:cNvPr id="1092" name="AutoShape 68" descr="068새박스아이콘">
          <a:hlinkClick xmlns:r="http://schemas.openxmlformats.org/officeDocument/2006/relationships" r:id="rId68" tooltip="괴력몬 (포켓몬)"/>
          <a:extLst>
            <a:ext uri="{FF2B5EF4-FFF2-40B4-BE49-F238E27FC236}">
              <a16:creationId xmlns:a16="http://schemas.microsoft.com/office/drawing/2014/main" id="{0D8983FA-439F-1AB4-2CF3-F1A10051FDF0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468850"/>
          <a:ext cx="2571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19050</xdr:rowOff>
    </xdr:from>
    <xdr:to>
      <xdr:col>1</xdr:col>
      <xdr:colOff>190500</xdr:colOff>
      <xdr:row>81</xdr:row>
      <xdr:rowOff>161925</xdr:rowOff>
    </xdr:to>
    <xdr:sp macro="" textlink="">
      <xdr:nvSpPr>
        <xdr:cNvPr id="1093" name="AutoShape 69" descr="069새박스아이콘">
          <a:hlinkClick xmlns:r="http://schemas.openxmlformats.org/officeDocument/2006/relationships" r:id="rId69" tooltip="모다피 (포켓몬)"/>
          <a:extLst>
            <a:ext uri="{FF2B5EF4-FFF2-40B4-BE49-F238E27FC236}">
              <a16:creationId xmlns:a16="http://schemas.microsoft.com/office/drawing/2014/main" id="{29F7A72E-0288-8B37-16EE-9629FB5DFAE8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687925"/>
          <a:ext cx="1905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209550</xdr:colOff>
      <xdr:row>82</xdr:row>
      <xdr:rowOff>190500</xdr:rowOff>
    </xdr:to>
    <xdr:sp macro="" textlink="">
      <xdr:nvSpPr>
        <xdr:cNvPr id="1094" name="AutoShape 70" descr="070새박스아이콘">
          <a:hlinkClick xmlns:r="http://schemas.openxmlformats.org/officeDocument/2006/relationships" r:id="rId70" tooltip="우츠동 (포켓몬)"/>
          <a:extLst>
            <a:ext uri="{FF2B5EF4-FFF2-40B4-BE49-F238E27FC236}">
              <a16:creationId xmlns:a16="http://schemas.microsoft.com/office/drawing/2014/main" id="{6075D539-512D-1EC0-4789-083365218064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878425"/>
          <a:ext cx="2095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266700</xdr:colOff>
      <xdr:row>84</xdr:row>
      <xdr:rowOff>9525</xdr:rowOff>
    </xdr:to>
    <xdr:sp macro="" textlink="">
      <xdr:nvSpPr>
        <xdr:cNvPr id="1095" name="AutoShape 71" descr="071새박스아이콘">
          <a:hlinkClick xmlns:r="http://schemas.openxmlformats.org/officeDocument/2006/relationships" r:id="rId71" tooltip="우츠보트 (포켓몬)"/>
          <a:extLst>
            <a:ext uri="{FF2B5EF4-FFF2-40B4-BE49-F238E27FC236}">
              <a16:creationId xmlns:a16="http://schemas.microsoft.com/office/drawing/2014/main" id="{664791FA-8635-9CCB-1D57-312F6464375F}"/>
            </a:ext>
          </a:extLst>
        </xdr:cNvPr>
        <xdr:cNvSpPr>
          <a:spLocks noChangeAspect="1" noChangeArrowheads="1"/>
        </xdr:cNvSpPr>
      </xdr:nvSpPr>
      <xdr:spPr bwMode="auto">
        <a:xfrm>
          <a:off x="685800" y="18087975"/>
          <a:ext cx="2667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19050</xdr:rowOff>
    </xdr:from>
    <xdr:to>
      <xdr:col>1</xdr:col>
      <xdr:colOff>228600</xdr:colOff>
      <xdr:row>85</xdr:row>
      <xdr:rowOff>19050</xdr:rowOff>
    </xdr:to>
    <xdr:sp macro="" textlink="">
      <xdr:nvSpPr>
        <xdr:cNvPr id="1096" name="AutoShape 72" descr="072새박스아이콘">
          <a:hlinkClick xmlns:r="http://schemas.openxmlformats.org/officeDocument/2006/relationships" r:id="rId72" tooltip="왕눈해 (포켓몬)"/>
          <a:extLst>
            <a:ext uri="{FF2B5EF4-FFF2-40B4-BE49-F238E27FC236}">
              <a16:creationId xmlns:a16="http://schemas.microsoft.com/office/drawing/2014/main" id="{09B5AAC8-2809-A13B-9FF7-32EC0A354F3A}"/>
            </a:ext>
          </a:extLst>
        </xdr:cNvPr>
        <xdr:cNvSpPr>
          <a:spLocks noChangeAspect="1" noChangeArrowheads="1"/>
        </xdr:cNvSpPr>
      </xdr:nvSpPr>
      <xdr:spPr bwMode="auto">
        <a:xfrm>
          <a:off x="685800" y="18316575"/>
          <a:ext cx="2286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28575</xdr:rowOff>
    </xdr:from>
    <xdr:to>
      <xdr:col>1</xdr:col>
      <xdr:colOff>238125</xdr:colOff>
      <xdr:row>86</xdr:row>
      <xdr:rowOff>28575</xdr:rowOff>
    </xdr:to>
    <xdr:sp macro="" textlink="">
      <xdr:nvSpPr>
        <xdr:cNvPr id="1097" name="AutoShape 73" descr="073새박스아이콘">
          <a:hlinkClick xmlns:r="http://schemas.openxmlformats.org/officeDocument/2006/relationships" r:id="rId73" tooltip="독파리 (포켓몬)"/>
          <a:extLst>
            <a:ext uri="{FF2B5EF4-FFF2-40B4-BE49-F238E27FC236}">
              <a16:creationId xmlns:a16="http://schemas.microsoft.com/office/drawing/2014/main" id="{BA0662F8-CFCF-1ADC-AD96-FC5308626152}"/>
            </a:ext>
          </a:extLst>
        </xdr:cNvPr>
        <xdr:cNvSpPr>
          <a:spLocks noChangeAspect="1" noChangeArrowheads="1"/>
        </xdr:cNvSpPr>
      </xdr:nvSpPr>
      <xdr:spPr bwMode="auto">
        <a:xfrm>
          <a:off x="685800" y="18535650"/>
          <a:ext cx="2381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38100</xdr:rowOff>
    </xdr:from>
    <xdr:to>
      <xdr:col>1</xdr:col>
      <xdr:colOff>228600</xdr:colOff>
      <xdr:row>86</xdr:row>
      <xdr:rowOff>180975</xdr:rowOff>
    </xdr:to>
    <xdr:sp macro="" textlink="">
      <xdr:nvSpPr>
        <xdr:cNvPr id="1098" name="AutoShape 74" descr="074새박스아이콘">
          <a:hlinkClick xmlns:r="http://schemas.openxmlformats.org/officeDocument/2006/relationships" r:id="rId74" tooltip="꼬마돌 (포켓몬)"/>
          <a:extLst>
            <a:ext uri="{FF2B5EF4-FFF2-40B4-BE49-F238E27FC236}">
              <a16:creationId xmlns:a16="http://schemas.microsoft.com/office/drawing/2014/main" id="{F107C266-7426-DDF5-E575-05FBE232C75F}"/>
            </a:ext>
          </a:extLst>
        </xdr:cNvPr>
        <xdr:cNvSpPr>
          <a:spLocks noChangeAspect="1" noChangeArrowheads="1"/>
        </xdr:cNvSpPr>
      </xdr:nvSpPr>
      <xdr:spPr bwMode="auto">
        <a:xfrm>
          <a:off x="685800" y="18754725"/>
          <a:ext cx="2286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247650</xdr:colOff>
      <xdr:row>88</xdr:row>
      <xdr:rowOff>0</xdr:rowOff>
    </xdr:to>
    <xdr:sp macro="" textlink="">
      <xdr:nvSpPr>
        <xdr:cNvPr id="1099" name="AutoShape 75" descr="075새박스아이콘">
          <a:hlinkClick xmlns:r="http://schemas.openxmlformats.org/officeDocument/2006/relationships" r:id="rId75" tooltip="데구리 (포켓몬)"/>
          <a:extLst>
            <a:ext uri="{FF2B5EF4-FFF2-40B4-BE49-F238E27FC236}">
              <a16:creationId xmlns:a16="http://schemas.microsoft.com/office/drawing/2014/main" id="{2B104F81-E5B6-F15D-C665-2C0F6B96E097}"/>
            </a:ext>
          </a:extLst>
        </xdr:cNvPr>
        <xdr:cNvSpPr>
          <a:spLocks noChangeAspect="1" noChangeArrowheads="1"/>
        </xdr:cNvSpPr>
      </xdr:nvSpPr>
      <xdr:spPr bwMode="auto">
        <a:xfrm>
          <a:off x="685800" y="18926175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9525</xdr:rowOff>
    </xdr:from>
    <xdr:to>
      <xdr:col>1</xdr:col>
      <xdr:colOff>247650</xdr:colOff>
      <xdr:row>89</xdr:row>
      <xdr:rowOff>0</xdr:rowOff>
    </xdr:to>
    <xdr:sp macro="" textlink="">
      <xdr:nvSpPr>
        <xdr:cNvPr id="1100" name="AutoShape 76" descr="076새박스아이콘">
          <a:hlinkClick xmlns:r="http://schemas.openxmlformats.org/officeDocument/2006/relationships" r:id="rId76" tooltip="딱구리 (포켓몬)"/>
          <a:extLst>
            <a:ext uri="{FF2B5EF4-FFF2-40B4-BE49-F238E27FC236}">
              <a16:creationId xmlns:a16="http://schemas.microsoft.com/office/drawing/2014/main" id="{74423DFD-285D-3070-6972-7A8D47F7A4B3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145250"/>
          <a:ext cx="2476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228600</xdr:colOff>
      <xdr:row>90</xdr:row>
      <xdr:rowOff>9525</xdr:rowOff>
    </xdr:to>
    <xdr:sp macro="" textlink="">
      <xdr:nvSpPr>
        <xdr:cNvPr id="1101" name="AutoShape 77" descr="077새박스아이콘">
          <a:hlinkClick xmlns:r="http://schemas.openxmlformats.org/officeDocument/2006/relationships" r:id="rId77" tooltip="포니타 (포켓몬)"/>
          <a:extLst>
            <a:ext uri="{FF2B5EF4-FFF2-40B4-BE49-F238E27FC236}">
              <a16:creationId xmlns:a16="http://schemas.microsoft.com/office/drawing/2014/main" id="{7E294A65-A462-D1E1-BB62-53B6C715D7E7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345275"/>
          <a:ext cx="2286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19050</xdr:rowOff>
    </xdr:from>
    <xdr:to>
      <xdr:col>1</xdr:col>
      <xdr:colOff>276225</xdr:colOff>
      <xdr:row>91</xdr:row>
      <xdr:rowOff>57150</xdr:rowOff>
    </xdr:to>
    <xdr:sp macro="" textlink="">
      <xdr:nvSpPr>
        <xdr:cNvPr id="1102" name="AutoShape 78" descr="078새박스아이콘">
          <a:hlinkClick xmlns:r="http://schemas.openxmlformats.org/officeDocument/2006/relationships" r:id="rId78" tooltip="날쌩마 (포켓몬)"/>
          <a:extLst>
            <a:ext uri="{FF2B5EF4-FFF2-40B4-BE49-F238E27FC236}">
              <a16:creationId xmlns:a16="http://schemas.microsoft.com/office/drawing/2014/main" id="{804BCD59-4A59-3DE3-44F2-EB07421C4DE4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573875"/>
          <a:ext cx="2762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66675</xdr:rowOff>
    </xdr:from>
    <xdr:to>
      <xdr:col>1</xdr:col>
      <xdr:colOff>200025</xdr:colOff>
      <xdr:row>92</xdr:row>
      <xdr:rowOff>57150</xdr:rowOff>
    </xdr:to>
    <xdr:sp macro="" textlink="">
      <xdr:nvSpPr>
        <xdr:cNvPr id="1103" name="AutoShape 79" descr="079새박스아이콘">
          <a:hlinkClick xmlns:r="http://schemas.openxmlformats.org/officeDocument/2006/relationships" r:id="rId79" tooltip="야돈 (포켓몬)"/>
          <a:extLst>
            <a:ext uri="{FF2B5EF4-FFF2-40B4-BE49-F238E27FC236}">
              <a16:creationId xmlns:a16="http://schemas.microsoft.com/office/drawing/2014/main" id="{DEC7830B-0E2D-A9C9-C883-58194C2A410C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8310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257175</xdr:colOff>
      <xdr:row>93</xdr:row>
      <xdr:rowOff>9525</xdr:rowOff>
    </xdr:to>
    <xdr:sp macro="" textlink="">
      <xdr:nvSpPr>
        <xdr:cNvPr id="1104" name="AutoShape 80" descr="080새박스아이콘">
          <a:hlinkClick xmlns:r="http://schemas.openxmlformats.org/officeDocument/2006/relationships" r:id="rId80" tooltip="야도란 (포켓몬)"/>
          <a:extLst>
            <a:ext uri="{FF2B5EF4-FFF2-40B4-BE49-F238E27FC236}">
              <a16:creationId xmlns:a16="http://schemas.microsoft.com/office/drawing/2014/main" id="{A5028029-D26F-D7DC-20EF-8CE6113746FF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973925"/>
          <a:ext cx="2571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19050</xdr:rowOff>
    </xdr:from>
    <xdr:to>
      <xdr:col>1</xdr:col>
      <xdr:colOff>219075</xdr:colOff>
      <xdr:row>93</xdr:row>
      <xdr:rowOff>161925</xdr:rowOff>
    </xdr:to>
    <xdr:sp macro="" textlink="">
      <xdr:nvSpPr>
        <xdr:cNvPr id="1105" name="AutoShape 81" descr="081새박스아이콘">
          <a:hlinkClick xmlns:r="http://schemas.openxmlformats.org/officeDocument/2006/relationships" r:id="rId81" tooltip="코일 (포켓몬)"/>
          <a:extLst>
            <a:ext uri="{FF2B5EF4-FFF2-40B4-BE49-F238E27FC236}">
              <a16:creationId xmlns:a16="http://schemas.microsoft.com/office/drawing/2014/main" id="{25A27597-B378-DD9F-B45C-17E441D4DD7C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20252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228600</xdr:colOff>
      <xdr:row>95</xdr:row>
      <xdr:rowOff>0</xdr:rowOff>
    </xdr:to>
    <xdr:sp macro="" textlink="">
      <xdr:nvSpPr>
        <xdr:cNvPr id="1106" name="AutoShape 82" descr="082새박스아이콘">
          <a:hlinkClick xmlns:r="http://schemas.openxmlformats.org/officeDocument/2006/relationships" r:id="rId82" tooltip="레어코일 (포켓몬)"/>
          <a:extLst>
            <a:ext uri="{FF2B5EF4-FFF2-40B4-BE49-F238E27FC236}">
              <a16:creationId xmlns:a16="http://schemas.microsoft.com/office/drawing/2014/main" id="{FAB04F52-4B9A-B1FA-0188-E87D5159F635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393025"/>
          <a:ext cx="2286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9525</xdr:rowOff>
    </xdr:from>
    <xdr:to>
      <xdr:col>1</xdr:col>
      <xdr:colOff>247650</xdr:colOff>
      <xdr:row>96</xdr:row>
      <xdr:rowOff>9525</xdr:rowOff>
    </xdr:to>
    <xdr:sp macro="" textlink="">
      <xdr:nvSpPr>
        <xdr:cNvPr id="1107" name="AutoShape 83" descr="083새박스아이콘">
          <a:hlinkClick xmlns:r="http://schemas.openxmlformats.org/officeDocument/2006/relationships" r:id="rId83" tooltip="파오리 (포켓몬)"/>
          <a:extLst>
            <a:ext uri="{FF2B5EF4-FFF2-40B4-BE49-F238E27FC236}">
              <a16:creationId xmlns:a16="http://schemas.microsoft.com/office/drawing/2014/main" id="{ED4BB4F1-39CB-7CEF-CED0-876BA0077D3B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61210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19050</xdr:rowOff>
    </xdr:from>
    <xdr:to>
      <xdr:col>1</xdr:col>
      <xdr:colOff>200025</xdr:colOff>
      <xdr:row>96</xdr:row>
      <xdr:rowOff>190500</xdr:rowOff>
    </xdr:to>
    <xdr:sp macro="" textlink="">
      <xdr:nvSpPr>
        <xdr:cNvPr id="1108" name="AutoShape 84" descr="084새박스아이콘">
          <a:hlinkClick xmlns:r="http://schemas.openxmlformats.org/officeDocument/2006/relationships" r:id="rId84" tooltip="두두 (포켓몬)"/>
          <a:extLst>
            <a:ext uri="{FF2B5EF4-FFF2-40B4-BE49-F238E27FC236}">
              <a16:creationId xmlns:a16="http://schemas.microsoft.com/office/drawing/2014/main" id="{DF0CBCF0-86C5-9D87-2199-3D0342F95B65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831175"/>
          <a:ext cx="2000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276225</xdr:colOff>
      <xdr:row>98</xdr:row>
      <xdr:rowOff>28575</xdr:rowOff>
    </xdr:to>
    <xdr:sp macro="" textlink="">
      <xdr:nvSpPr>
        <xdr:cNvPr id="1109" name="AutoShape 85" descr="085새박스아이콘">
          <a:hlinkClick xmlns:r="http://schemas.openxmlformats.org/officeDocument/2006/relationships" r:id="rId85" tooltip="두트리오 (포켓몬)"/>
          <a:extLst>
            <a:ext uri="{FF2B5EF4-FFF2-40B4-BE49-F238E27FC236}">
              <a16:creationId xmlns:a16="http://schemas.microsoft.com/office/drawing/2014/main" id="{A0BAC7F9-2790-B35A-DBBE-D2BE5CC2B5DE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21675"/>
          <a:ext cx="2762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38100</xdr:rowOff>
    </xdr:from>
    <xdr:to>
      <xdr:col>1</xdr:col>
      <xdr:colOff>238125</xdr:colOff>
      <xdr:row>99</xdr:row>
      <xdr:rowOff>47625</xdr:rowOff>
    </xdr:to>
    <xdr:sp macro="" textlink="">
      <xdr:nvSpPr>
        <xdr:cNvPr id="1110" name="AutoShape 86" descr="086새박스아이콘">
          <a:hlinkClick xmlns:r="http://schemas.openxmlformats.org/officeDocument/2006/relationships" r:id="rId86" tooltip="쥬쥬 (포켓몬)"/>
          <a:extLst>
            <a:ext uri="{FF2B5EF4-FFF2-40B4-BE49-F238E27FC236}">
              <a16:creationId xmlns:a16="http://schemas.microsoft.com/office/drawing/2014/main" id="{FB341163-C322-C325-A10A-ED92D3080162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269325"/>
          <a:ext cx="2381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57150</xdr:rowOff>
    </xdr:from>
    <xdr:to>
      <xdr:col>1</xdr:col>
      <xdr:colOff>238125</xdr:colOff>
      <xdr:row>100</xdr:row>
      <xdr:rowOff>66675</xdr:rowOff>
    </xdr:to>
    <xdr:sp macro="" textlink="">
      <xdr:nvSpPr>
        <xdr:cNvPr id="1111" name="AutoShape 87" descr="087새박스아이콘">
          <a:hlinkClick xmlns:r="http://schemas.openxmlformats.org/officeDocument/2006/relationships" r:id="rId87" tooltip="쥬레곤 (포켓몬)"/>
          <a:extLst>
            <a:ext uri="{FF2B5EF4-FFF2-40B4-BE49-F238E27FC236}">
              <a16:creationId xmlns:a16="http://schemas.microsoft.com/office/drawing/2014/main" id="{A7760636-68CA-6A99-8191-1F375335DE16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497925"/>
          <a:ext cx="2381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76200</xdr:rowOff>
    </xdr:from>
    <xdr:to>
      <xdr:col>1</xdr:col>
      <xdr:colOff>200025</xdr:colOff>
      <xdr:row>101</xdr:row>
      <xdr:rowOff>38100</xdr:rowOff>
    </xdr:to>
    <xdr:sp macro="" textlink="">
      <xdr:nvSpPr>
        <xdr:cNvPr id="1112" name="AutoShape 88" descr="088새박스아이콘">
          <a:hlinkClick xmlns:r="http://schemas.openxmlformats.org/officeDocument/2006/relationships" r:id="rId88" tooltip="질퍽이 (포켓몬)"/>
          <a:extLst>
            <a:ext uri="{FF2B5EF4-FFF2-40B4-BE49-F238E27FC236}">
              <a16:creationId xmlns:a16="http://schemas.microsoft.com/office/drawing/2014/main" id="{C752226A-A922-FE25-E746-F83D9BA84EA2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726525"/>
          <a:ext cx="2000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247650</xdr:colOff>
      <xdr:row>102</xdr:row>
      <xdr:rowOff>28575</xdr:rowOff>
    </xdr:to>
    <xdr:sp macro="" textlink="">
      <xdr:nvSpPr>
        <xdr:cNvPr id="1113" name="AutoShape 89" descr="089새박스아이콘">
          <a:hlinkClick xmlns:r="http://schemas.openxmlformats.org/officeDocument/2006/relationships" r:id="rId89" tooltip="질뻐기 (포켓몬)"/>
          <a:extLst>
            <a:ext uri="{FF2B5EF4-FFF2-40B4-BE49-F238E27FC236}">
              <a16:creationId xmlns:a16="http://schemas.microsoft.com/office/drawing/2014/main" id="{A5682541-0F63-7A19-FD8F-4FA8F82F2E99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859875"/>
          <a:ext cx="2476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38100</xdr:rowOff>
    </xdr:from>
    <xdr:to>
      <xdr:col>1</xdr:col>
      <xdr:colOff>180975</xdr:colOff>
      <xdr:row>103</xdr:row>
      <xdr:rowOff>0</xdr:rowOff>
    </xdr:to>
    <xdr:sp macro="" textlink="">
      <xdr:nvSpPr>
        <xdr:cNvPr id="1114" name="AutoShape 90" descr="090새박스아이콘">
          <a:hlinkClick xmlns:r="http://schemas.openxmlformats.org/officeDocument/2006/relationships" r:id="rId90" tooltip="셀러 (포켓몬)"/>
          <a:extLst>
            <a:ext uri="{FF2B5EF4-FFF2-40B4-BE49-F238E27FC236}">
              <a16:creationId xmlns:a16="http://schemas.microsoft.com/office/drawing/2014/main" id="{D780E1E3-2DCC-FDDD-DEED-18849548885A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107525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238125</xdr:colOff>
      <xdr:row>104</xdr:row>
      <xdr:rowOff>19050</xdr:rowOff>
    </xdr:to>
    <xdr:sp macro="" textlink="">
      <xdr:nvSpPr>
        <xdr:cNvPr id="1115" name="AutoShape 91" descr="091새박스아이콘">
          <a:hlinkClick xmlns:r="http://schemas.openxmlformats.org/officeDocument/2006/relationships" r:id="rId91" tooltip="파르셀 (포켓몬)"/>
          <a:extLst>
            <a:ext uri="{FF2B5EF4-FFF2-40B4-BE49-F238E27FC236}">
              <a16:creationId xmlns:a16="http://schemas.microsoft.com/office/drawing/2014/main" id="{3A750C59-5293-A3D0-4181-68B418A50E40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278975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28575</xdr:rowOff>
    </xdr:from>
    <xdr:to>
      <xdr:col>1</xdr:col>
      <xdr:colOff>200025</xdr:colOff>
      <xdr:row>105</xdr:row>
      <xdr:rowOff>19050</xdr:rowOff>
    </xdr:to>
    <xdr:sp macro="" textlink="">
      <xdr:nvSpPr>
        <xdr:cNvPr id="1116" name="AutoShape 92" descr="092새박스아이콘">
          <a:hlinkClick xmlns:r="http://schemas.openxmlformats.org/officeDocument/2006/relationships" r:id="rId92" tooltip="고오스 (포켓몬)"/>
          <a:extLst>
            <a:ext uri="{FF2B5EF4-FFF2-40B4-BE49-F238E27FC236}">
              <a16:creationId xmlns:a16="http://schemas.microsoft.com/office/drawing/2014/main" id="{19BE2DFD-293B-018D-BD42-A4DA4BBE5783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5171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285750</xdr:colOff>
      <xdr:row>106</xdr:row>
      <xdr:rowOff>38100</xdr:rowOff>
    </xdr:to>
    <xdr:sp macro="" textlink="">
      <xdr:nvSpPr>
        <xdr:cNvPr id="1117" name="AutoShape 93" descr="093새박스아이콘">
          <a:hlinkClick xmlns:r="http://schemas.openxmlformats.org/officeDocument/2006/relationships" r:id="rId93" tooltip="고우스트 (포켓몬)"/>
          <a:extLst>
            <a:ext uri="{FF2B5EF4-FFF2-40B4-BE49-F238E27FC236}">
              <a16:creationId xmlns:a16="http://schemas.microsoft.com/office/drawing/2014/main" id="{6644E032-3A35-1A5A-EC3B-4281935B63BD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698075"/>
          <a:ext cx="285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47625</xdr:rowOff>
    </xdr:from>
    <xdr:to>
      <xdr:col>1</xdr:col>
      <xdr:colOff>228600</xdr:colOff>
      <xdr:row>107</xdr:row>
      <xdr:rowOff>66675</xdr:rowOff>
    </xdr:to>
    <xdr:sp macro="" textlink="">
      <xdr:nvSpPr>
        <xdr:cNvPr id="1118" name="AutoShape 94" descr="094새박스아이콘">
          <a:hlinkClick xmlns:r="http://schemas.openxmlformats.org/officeDocument/2006/relationships" r:id="rId94" tooltip="팬텀 (포켓몬)"/>
          <a:extLst>
            <a:ext uri="{FF2B5EF4-FFF2-40B4-BE49-F238E27FC236}">
              <a16:creationId xmlns:a16="http://schemas.microsoft.com/office/drawing/2014/main" id="{F53BEC23-CD82-C37A-6081-93D26A7D10D1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9552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76200</xdr:rowOff>
    </xdr:from>
    <xdr:to>
      <xdr:col>1</xdr:col>
      <xdr:colOff>285750</xdr:colOff>
      <xdr:row>108</xdr:row>
      <xdr:rowOff>123825</xdr:rowOff>
    </xdr:to>
    <xdr:sp macro="" textlink="">
      <xdr:nvSpPr>
        <xdr:cNvPr id="1119" name="AutoShape 95" descr="095새박스아이콘">
          <a:hlinkClick xmlns:r="http://schemas.openxmlformats.org/officeDocument/2006/relationships" r:id="rId95" tooltip="롱스톤 (포켓몬)"/>
          <a:extLst>
            <a:ext uri="{FF2B5EF4-FFF2-40B4-BE49-F238E27FC236}">
              <a16:creationId xmlns:a16="http://schemas.microsoft.com/office/drawing/2014/main" id="{90F03D5A-6DFB-89F4-0421-93F6C960A119}"/>
            </a:ext>
          </a:extLst>
        </xdr:cNvPr>
        <xdr:cNvSpPr>
          <a:spLocks noChangeAspect="1" noChangeArrowheads="1"/>
        </xdr:cNvSpPr>
      </xdr:nvSpPr>
      <xdr:spPr bwMode="auto">
        <a:xfrm>
          <a:off x="685800" y="23193375"/>
          <a:ext cx="2857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133350</xdr:rowOff>
    </xdr:from>
    <xdr:to>
      <xdr:col>1</xdr:col>
      <xdr:colOff>228600</xdr:colOff>
      <xdr:row>109</xdr:row>
      <xdr:rowOff>133350</xdr:rowOff>
    </xdr:to>
    <xdr:sp macro="" textlink="">
      <xdr:nvSpPr>
        <xdr:cNvPr id="1120" name="AutoShape 96" descr="096새박스아이콘">
          <a:hlinkClick xmlns:r="http://schemas.openxmlformats.org/officeDocument/2006/relationships" r:id="rId96" tooltip="슬리프 (포켓몬)"/>
          <a:extLst>
            <a:ext uri="{FF2B5EF4-FFF2-40B4-BE49-F238E27FC236}">
              <a16:creationId xmlns:a16="http://schemas.microsoft.com/office/drawing/2014/main" id="{956A8902-9F61-28B8-E21A-752F14F5E680}"/>
            </a:ext>
          </a:extLst>
        </xdr:cNvPr>
        <xdr:cNvSpPr>
          <a:spLocks noChangeAspect="1" noChangeArrowheads="1"/>
        </xdr:cNvSpPr>
      </xdr:nvSpPr>
      <xdr:spPr bwMode="auto">
        <a:xfrm>
          <a:off x="685800" y="23460075"/>
          <a:ext cx="2286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142875</xdr:rowOff>
    </xdr:from>
    <xdr:to>
      <xdr:col>1</xdr:col>
      <xdr:colOff>257175</xdr:colOff>
      <xdr:row>110</xdr:row>
      <xdr:rowOff>180975</xdr:rowOff>
    </xdr:to>
    <xdr:sp macro="" textlink="">
      <xdr:nvSpPr>
        <xdr:cNvPr id="1121" name="AutoShape 97" descr="097새박스아이콘">
          <a:hlinkClick xmlns:r="http://schemas.openxmlformats.org/officeDocument/2006/relationships" r:id="rId97" tooltip="슬리퍼 (포켓몬)"/>
          <a:extLst>
            <a:ext uri="{FF2B5EF4-FFF2-40B4-BE49-F238E27FC236}">
              <a16:creationId xmlns:a16="http://schemas.microsoft.com/office/drawing/2014/main" id="{7A01CA9A-BD57-EB9B-5AAC-90A4AC861223}"/>
            </a:ext>
          </a:extLst>
        </xdr:cNvPr>
        <xdr:cNvSpPr>
          <a:spLocks noChangeAspect="1" noChangeArrowheads="1"/>
        </xdr:cNvSpPr>
      </xdr:nvSpPr>
      <xdr:spPr bwMode="auto">
        <a:xfrm>
          <a:off x="685800" y="23679150"/>
          <a:ext cx="2571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190500</xdr:rowOff>
    </xdr:from>
    <xdr:to>
      <xdr:col>1</xdr:col>
      <xdr:colOff>266700</xdr:colOff>
      <xdr:row>111</xdr:row>
      <xdr:rowOff>180975</xdr:rowOff>
    </xdr:to>
    <xdr:sp macro="" textlink="">
      <xdr:nvSpPr>
        <xdr:cNvPr id="1122" name="AutoShape 98" descr="098새박스아이콘">
          <a:hlinkClick xmlns:r="http://schemas.openxmlformats.org/officeDocument/2006/relationships" r:id="rId98" tooltip="크랩 (포켓몬)"/>
          <a:extLst>
            <a:ext uri="{FF2B5EF4-FFF2-40B4-BE49-F238E27FC236}">
              <a16:creationId xmlns:a16="http://schemas.microsoft.com/office/drawing/2014/main" id="{E110AF17-1D39-FC9A-6FC6-E66ED04309B6}"/>
            </a:ext>
          </a:extLst>
        </xdr:cNvPr>
        <xdr:cNvSpPr>
          <a:spLocks noChangeAspect="1" noChangeArrowheads="1"/>
        </xdr:cNvSpPr>
      </xdr:nvSpPr>
      <xdr:spPr bwMode="auto">
        <a:xfrm>
          <a:off x="685800" y="23936325"/>
          <a:ext cx="2667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285750</xdr:colOff>
      <xdr:row>112</xdr:row>
      <xdr:rowOff>28575</xdr:rowOff>
    </xdr:to>
    <xdr:sp macro="" textlink="">
      <xdr:nvSpPr>
        <xdr:cNvPr id="1123" name="AutoShape 99" descr="099새박스아이콘">
          <a:hlinkClick xmlns:r="http://schemas.openxmlformats.org/officeDocument/2006/relationships" r:id="rId99" tooltip="킹크랩 (포켓몬)"/>
          <a:extLst>
            <a:ext uri="{FF2B5EF4-FFF2-40B4-BE49-F238E27FC236}">
              <a16:creationId xmlns:a16="http://schemas.microsoft.com/office/drawing/2014/main" id="{3FE4D904-8CC1-41E3-FC4A-1DD9DE57702D}"/>
            </a:ext>
          </a:extLst>
        </xdr:cNvPr>
        <xdr:cNvSpPr>
          <a:spLocks noChangeAspect="1" noChangeArrowheads="1"/>
        </xdr:cNvSpPr>
      </xdr:nvSpPr>
      <xdr:spPr bwMode="auto">
        <a:xfrm>
          <a:off x="685800" y="23955375"/>
          <a:ext cx="2857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38100</xdr:rowOff>
    </xdr:from>
    <xdr:to>
      <xdr:col>1</xdr:col>
      <xdr:colOff>133350</xdr:colOff>
      <xdr:row>112</xdr:row>
      <xdr:rowOff>171450</xdr:rowOff>
    </xdr:to>
    <xdr:sp macro="" textlink="">
      <xdr:nvSpPr>
        <xdr:cNvPr id="1124" name="AutoShape 100" descr="100새박스아이콘">
          <a:hlinkClick xmlns:r="http://schemas.openxmlformats.org/officeDocument/2006/relationships" r:id="rId100" tooltip="찌리리공 (포켓몬)"/>
          <a:extLst>
            <a:ext uri="{FF2B5EF4-FFF2-40B4-BE49-F238E27FC236}">
              <a16:creationId xmlns:a16="http://schemas.microsoft.com/office/drawing/2014/main" id="{A9588C33-AC3E-1FDA-4A43-F8EC17C69C41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203025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152400</xdr:rowOff>
    </xdr:to>
    <xdr:sp macro="" textlink="">
      <xdr:nvSpPr>
        <xdr:cNvPr id="1125" name="AutoShape 101" descr="101새박스아이콘">
          <a:hlinkClick xmlns:r="http://schemas.openxmlformats.org/officeDocument/2006/relationships" r:id="rId101" tooltip="붐볼 (포켓몬)"/>
          <a:extLst>
            <a:ext uri="{FF2B5EF4-FFF2-40B4-BE49-F238E27FC236}">
              <a16:creationId xmlns:a16="http://schemas.microsoft.com/office/drawing/2014/main" id="{4C14CE9E-E72C-273C-5148-9F7CE570D5B6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374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228600</xdr:colOff>
      <xdr:row>114</xdr:row>
      <xdr:rowOff>171450</xdr:rowOff>
    </xdr:to>
    <xdr:sp macro="" textlink="">
      <xdr:nvSpPr>
        <xdr:cNvPr id="1126" name="AutoShape 102" descr="102새박스아이콘">
          <a:hlinkClick xmlns:r="http://schemas.openxmlformats.org/officeDocument/2006/relationships" r:id="rId102" tooltip="아라리 (포켓몬)"/>
          <a:extLst>
            <a:ext uri="{FF2B5EF4-FFF2-40B4-BE49-F238E27FC236}">
              <a16:creationId xmlns:a16="http://schemas.microsoft.com/office/drawing/2014/main" id="{3E201EE2-D272-F646-EB0F-6FC855507245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584025"/>
          <a:ext cx="2286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161925</xdr:colOff>
      <xdr:row>116</xdr:row>
      <xdr:rowOff>19050</xdr:rowOff>
    </xdr:to>
    <xdr:sp macro="" textlink="">
      <xdr:nvSpPr>
        <xdr:cNvPr id="1127" name="AutoShape 103" descr="103새박스아이콘">
          <a:hlinkClick xmlns:r="http://schemas.openxmlformats.org/officeDocument/2006/relationships" r:id="rId103" tooltip="나시 (포켓몬)"/>
          <a:extLst>
            <a:ext uri="{FF2B5EF4-FFF2-40B4-BE49-F238E27FC236}">
              <a16:creationId xmlns:a16="http://schemas.microsoft.com/office/drawing/2014/main" id="{3F538C8B-D406-DD1D-B9B5-1A67E35AF113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93575"/>
          <a:ext cx="1619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28575</xdr:rowOff>
    </xdr:from>
    <xdr:to>
      <xdr:col>1</xdr:col>
      <xdr:colOff>190500</xdr:colOff>
      <xdr:row>117</xdr:row>
      <xdr:rowOff>0</xdr:rowOff>
    </xdr:to>
    <xdr:sp macro="" textlink="">
      <xdr:nvSpPr>
        <xdr:cNvPr id="1128" name="AutoShape 104" descr="104새박스아이콘">
          <a:hlinkClick xmlns:r="http://schemas.openxmlformats.org/officeDocument/2006/relationships" r:id="rId104" tooltip="탕구리 (포켓몬)"/>
          <a:extLst>
            <a:ext uri="{FF2B5EF4-FFF2-40B4-BE49-F238E27FC236}">
              <a16:creationId xmlns:a16="http://schemas.microsoft.com/office/drawing/2014/main" id="{EB1C5691-0AB0-A008-D0C8-108EC0E4B23C}"/>
            </a:ext>
          </a:extLst>
        </xdr:cNvPr>
        <xdr:cNvSpPr>
          <a:spLocks noChangeAspect="1" noChangeArrowheads="1"/>
        </xdr:cNvSpPr>
      </xdr:nvSpPr>
      <xdr:spPr bwMode="auto">
        <a:xfrm>
          <a:off x="685800" y="25031700"/>
          <a:ext cx="1905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209550</xdr:colOff>
      <xdr:row>117</xdr:row>
      <xdr:rowOff>200025</xdr:rowOff>
    </xdr:to>
    <xdr:sp macro="" textlink="">
      <xdr:nvSpPr>
        <xdr:cNvPr id="1129" name="AutoShape 105" descr="105새박스아이콘">
          <a:hlinkClick xmlns:r="http://schemas.openxmlformats.org/officeDocument/2006/relationships" r:id="rId105" tooltip="텅구리 (포켓몬)"/>
          <a:extLst>
            <a:ext uri="{FF2B5EF4-FFF2-40B4-BE49-F238E27FC236}">
              <a16:creationId xmlns:a16="http://schemas.microsoft.com/office/drawing/2014/main" id="{3696FA30-190C-BEFD-146B-EB2555AC534B}"/>
            </a:ext>
          </a:extLst>
        </xdr:cNvPr>
        <xdr:cNvSpPr>
          <a:spLocks noChangeAspect="1" noChangeArrowheads="1"/>
        </xdr:cNvSpPr>
      </xdr:nvSpPr>
      <xdr:spPr bwMode="auto">
        <a:xfrm>
          <a:off x="685800" y="25212675"/>
          <a:ext cx="2095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219075</xdr:colOff>
      <xdr:row>118</xdr:row>
      <xdr:rowOff>180975</xdr:rowOff>
    </xdr:to>
    <xdr:sp macro="" textlink="">
      <xdr:nvSpPr>
        <xdr:cNvPr id="1130" name="AutoShape 106" descr="106새박스아이콘">
          <a:hlinkClick xmlns:r="http://schemas.openxmlformats.org/officeDocument/2006/relationships" r:id="rId106" tooltip="시라소몬 (포켓몬)"/>
          <a:extLst>
            <a:ext uri="{FF2B5EF4-FFF2-40B4-BE49-F238E27FC236}">
              <a16:creationId xmlns:a16="http://schemas.microsoft.com/office/drawing/2014/main" id="{723892E2-30AA-905E-3152-E9E016543689}"/>
            </a:ext>
          </a:extLst>
        </xdr:cNvPr>
        <xdr:cNvSpPr>
          <a:spLocks noChangeAspect="1" noChangeArrowheads="1"/>
        </xdr:cNvSpPr>
      </xdr:nvSpPr>
      <xdr:spPr bwMode="auto">
        <a:xfrm>
          <a:off x="685800" y="25422225"/>
          <a:ext cx="2190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200025</xdr:colOff>
      <xdr:row>119</xdr:row>
      <xdr:rowOff>190500</xdr:rowOff>
    </xdr:to>
    <xdr:sp macro="" textlink="">
      <xdr:nvSpPr>
        <xdr:cNvPr id="1131" name="AutoShape 107" descr="107새박스아이콘">
          <a:hlinkClick xmlns:r="http://schemas.openxmlformats.org/officeDocument/2006/relationships" r:id="rId107" tooltip="홍수몬 (포켓몬)"/>
          <a:extLst>
            <a:ext uri="{FF2B5EF4-FFF2-40B4-BE49-F238E27FC236}">
              <a16:creationId xmlns:a16="http://schemas.microsoft.com/office/drawing/2014/main" id="{9A7DB35B-7E3F-5D66-258B-069ECE4F3A20}"/>
            </a:ext>
          </a:extLst>
        </xdr:cNvPr>
        <xdr:cNvSpPr>
          <a:spLocks noChangeAspect="1" noChangeArrowheads="1"/>
        </xdr:cNvSpPr>
      </xdr:nvSpPr>
      <xdr:spPr bwMode="auto">
        <a:xfrm>
          <a:off x="685800" y="25631775"/>
          <a:ext cx="2000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219075</xdr:colOff>
      <xdr:row>120</xdr:row>
      <xdr:rowOff>171450</xdr:rowOff>
    </xdr:to>
    <xdr:sp macro="" textlink="">
      <xdr:nvSpPr>
        <xdr:cNvPr id="1132" name="AutoShape 108" descr="108새박스아이콘">
          <a:hlinkClick xmlns:r="http://schemas.openxmlformats.org/officeDocument/2006/relationships" r:id="rId108" tooltip="내루미 (포켓몬)"/>
          <a:extLst>
            <a:ext uri="{FF2B5EF4-FFF2-40B4-BE49-F238E27FC236}">
              <a16:creationId xmlns:a16="http://schemas.microsoft.com/office/drawing/2014/main" id="{3E1A6C0A-1112-DD1C-E500-6C965CC3C381}"/>
            </a:ext>
          </a:extLst>
        </xdr:cNvPr>
        <xdr:cNvSpPr>
          <a:spLocks noChangeAspect="1" noChangeArrowheads="1"/>
        </xdr:cNvSpPr>
      </xdr:nvSpPr>
      <xdr:spPr bwMode="auto">
        <a:xfrm>
          <a:off x="685800" y="25841325"/>
          <a:ext cx="2190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228600</xdr:colOff>
      <xdr:row>122</xdr:row>
      <xdr:rowOff>38100</xdr:rowOff>
    </xdr:to>
    <xdr:sp macro="" textlink="">
      <xdr:nvSpPr>
        <xdr:cNvPr id="1133" name="AutoShape 109" descr="109새박스아이콘">
          <a:hlinkClick xmlns:r="http://schemas.openxmlformats.org/officeDocument/2006/relationships" r:id="rId109" tooltip="또가스 (포켓몬)"/>
          <a:extLst>
            <a:ext uri="{FF2B5EF4-FFF2-40B4-BE49-F238E27FC236}">
              <a16:creationId xmlns:a16="http://schemas.microsoft.com/office/drawing/2014/main" id="{F609F16F-4A6D-2E5C-EB1C-12CCA8915FC9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050875"/>
          <a:ext cx="2286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47625</xdr:rowOff>
    </xdr:from>
    <xdr:to>
      <xdr:col>1</xdr:col>
      <xdr:colOff>276225</xdr:colOff>
      <xdr:row>123</xdr:row>
      <xdr:rowOff>114300</xdr:rowOff>
    </xdr:to>
    <xdr:sp macro="" textlink="">
      <xdr:nvSpPr>
        <xdr:cNvPr id="1134" name="AutoShape 110" descr="110새박스아이콘">
          <a:hlinkClick xmlns:r="http://schemas.openxmlformats.org/officeDocument/2006/relationships" r:id="rId110" tooltip="또도가스 (포켓몬)"/>
          <a:extLst>
            <a:ext uri="{FF2B5EF4-FFF2-40B4-BE49-F238E27FC236}">
              <a16:creationId xmlns:a16="http://schemas.microsoft.com/office/drawing/2014/main" id="{4F7B53CA-519A-60D6-5BD7-5C5120EBD647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308050"/>
          <a:ext cx="2762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123825</xdr:rowOff>
    </xdr:from>
    <xdr:to>
      <xdr:col>1</xdr:col>
      <xdr:colOff>228600</xdr:colOff>
      <xdr:row>124</xdr:row>
      <xdr:rowOff>104775</xdr:rowOff>
    </xdr:to>
    <xdr:sp macro="" textlink="">
      <xdr:nvSpPr>
        <xdr:cNvPr id="1135" name="AutoShape 111" descr="111새박스아이콘">
          <a:hlinkClick xmlns:r="http://schemas.openxmlformats.org/officeDocument/2006/relationships" r:id="rId111" tooltip="뿔카노 (포켓몬)"/>
          <a:extLst>
            <a:ext uri="{FF2B5EF4-FFF2-40B4-BE49-F238E27FC236}">
              <a16:creationId xmlns:a16="http://schemas.microsoft.com/office/drawing/2014/main" id="{F3191789-EE60-D822-D6D3-4B0871766DFE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593800"/>
          <a:ext cx="2286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238125</xdr:colOff>
      <xdr:row>125</xdr:row>
      <xdr:rowOff>9525</xdr:rowOff>
    </xdr:to>
    <xdr:sp macro="" textlink="">
      <xdr:nvSpPr>
        <xdr:cNvPr id="1136" name="AutoShape 112" descr="112새박스아이콘">
          <a:hlinkClick xmlns:r="http://schemas.openxmlformats.org/officeDocument/2006/relationships" r:id="rId112" tooltip="코뿌리 (포켓몬)"/>
          <a:extLst>
            <a:ext uri="{FF2B5EF4-FFF2-40B4-BE49-F238E27FC236}">
              <a16:creationId xmlns:a16="http://schemas.microsoft.com/office/drawing/2014/main" id="{0C960D96-9127-E861-F7EE-5C4EA5864450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79525"/>
          <a:ext cx="2381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19050</xdr:rowOff>
    </xdr:from>
    <xdr:to>
      <xdr:col>1</xdr:col>
      <xdr:colOff>180975</xdr:colOff>
      <xdr:row>126</xdr:row>
      <xdr:rowOff>0</xdr:rowOff>
    </xdr:to>
    <xdr:sp macro="" textlink="">
      <xdr:nvSpPr>
        <xdr:cNvPr id="1137" name="AutoShape 113" descr="113새박스아이콘">
          <a:hlinkClick xmlns:r="http://schemas.openxmlformats.org/officeDocument/2006/relationships" r:id="rId113" tooltip="럭키 (포켓몬)"/>
          <a:extLst>
            <a:ext uri="{FF2B5EF4-FFF2-40B4-BE49-F238E27FC236}">
              <a16:creationId xmlns:a16="http://schemas.microsoft.com/office/drawing/2014/main" id="{86A8F5B7-F277-6732-FFBB-55707CFF8145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908125"/>
          <a:ext cx="1809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180975</xdr:colOff>
      <xdr:row>126</xdr:row>
      <xdr:rowOff>171450</xdr:rowOff>
    </xdr:to>
    <xdr:sp macro="" textlink="">
      <xdr:nvSpPr>
        <xdr:cNvPr id="1138" name="AutoShape 114" descr="114새박스아이콘">
          <a:hlinkClick xmlns:r="http://schemas.openxmlformats.org/officeDocument/2006/relationships" r:id="rId114" tooltip="덩쿠리 (포켓몬)"/>
          <a:extLst>
            <a:ext uri="{FF2B5EF4-FFF2-40B4-BE49-F238E27FC236}">
              <a16:creationId xmlns:a16="http://schemas.microsoft.com/office/drawing/2014/main" id="{DDADD7AF-16DC-78E3-013A-07A35CE8BEF0}"/>
            </a:ext>
          </a:extLst>
        </xdr:cNvPr>
        <xdr:cNvSpPr>
          <a:spLocks noChangeAspect="1" noChangeArrowheads="1"/>
        </xdr:cNvSpPr>
      </xdr:nvSpPr>
      <xdr:spPr bwMode="auto">
        <a:xfrm>
          <a:off x="685800" y="27098625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219075</xdr:colOff>
      <xdr:row>127</xdr:row>
      <xdr:rowOff>200025</xdr:rowOff>
    </xdr:to>
    <xdr:sp macro="" textlink="">
      <xdr:nvSpPr>
        <xdr:cNvPr id="1139" name="AutoShape 115" descr="115새박스아이콘">
          <a:hlinkClick xmlns:r="http://schemas.openxmlformats.org/officeDocument/2006/relationships" r:id="rId115" tooltip="캥카 (포켓몬)"/>
          <a:extLst>
            <a:ext uri="{FF2B5EF4-FFF2-40B4-BE49-F238E27FC236}">
              <a16:creationId xmlns:a16="http://schemas.microsoft.com/office/drawing/2014/main" id="{A51B6F2D-EF46-B938-713D-486FB0749019}"/>
            </a:ext>
          </a:extLst>
        </xdr:cNvPr>
        <xdr:cNvSpPr>
          <a:spLocks noChangeAspect="1" noChangeArrowheads="1"/>
        </xdr:cNvSpPr>
      </xdr:nvSpPr>
      <xdr:spPr bwMode="auto">
        <a:xfrm>
          <a:off x="685800" y="27308175"/>
          <a:ext cx="2190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171450</xdr:colOff>
      <xdr:row>128</xdr:row>
      <xdr:rowOff>161925</xdr:rowOff>
    </xdr:to>
    <xdr:sp macro="" textlink="">
      <xdr:nvSpPr>
        <xdr:cNvPr id="1140" name="AutoShape 116" descr="116새박스아이콘">
          <a:hlinkClick xmlns:r="http://schemas.openxmlformats.org/officeDocument/2006/relationships" r:id="rId116" tooltip="쏘드라 (포켓몬)"/>
          <a:extLst>
            <a:ext uri="{FF2B5EF4-FFF2-40B4-BE49-F238E27FC236}">
              <a16:creationId xmlns:a16="http://schemas.microsoft.com/office/drawing/2014/main" id="{B3027866-05A7-04AD-9AFF-376AED1E79AC}"/>
            </a:ext>
          </a:extLst>
        </xdr:cNvPr>
        <xdr:cNvSpPr>
          <a:spLocks noChangeAspect="1" noChangeArrowheads="1"/>
        </xdr:cNvSpPr>
      </xdr:nvSpPr>
      <xdr:spPr bwMode="auto">
        <a:xfrm>
          <a:off x="685800" y="27517725"/>
          <a:ext cx="1714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228600</xdr:colOff>
      <xdr:row>129</xdr:row>
      <xdr:rowOff>190500</xdr:rowOff>
    </xdr:to>
    <xdr:sp macro="" textlink="">
      <xdr:nvSpPr>
        <xdr:cNvPr id="1141" name="AutoShape 117" descr="117새박스아이콘">
          <a:hlinkClick xmlns:r="http://schemas.openxmlformats.org/officeDocument/2006/relationships" r:id="rId117" tooltip="시드라 (포켓몬)"/>
          <a:extLst>
            <a:ext uri="{FF2B5EF4-FFF2-40B4-BE49-F238E27FC236}">
              <a16:creationId xmlns:a16="http://schemas.microsoft.com/office/drawing/2014/main" id="{99C1B747-1389-6632-9504-6D7E6E054217}"/>
            </a:ext>
          </a:extLst>
        </xdr:cNvPr>
        <xdr:cNvSpPr>
          <a:spLocks noChangeAspect="1" noChangeArrowheads="1"/>
        </xdr:cNvSpPr>
      </xdr:nvSpPr>
      <xdr:spPr bwMode="auto">
        <a:xfrm>
          <a:off x="685800" y="27727275"/>
          <a:ext cx="2286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228600</xdr:colOff>
      <xdr:row>130</xdr:row>
      <xdr:rowOff>180975</xdr:rowOff>
    </xdr:to>
    <xdr:sp macro="" textlink="">
      <xdr:nvSpPr>
        <xdr:cNvPr id="1142" name="AutoShape 118" descr="118새박스아이콘">
          <a:hlinkClick xmlns:r="http://schemas.openxmlformats.org/officeDocument/2006/relationships" r:id="rId118" tooltip="콘치 (포켓몬)"/>
          <a:extLst>
            <a:ext uri="{FF2B5EF4-FFF2-40B4-BE49-F238E27FC236}">
              <a16:creationId xmlns:a16="http://schemas.microsoft.com/office/drawing/2014/main" id="{539B68E7-5ED8-8F2D-C100-7CB98577CE0D}"/>
            </a:ext>
          </a:extLst>
        </xdr:cNvPr>
        <xdr:cNvSpPr>
          <a:spLocks noChangeAspect="1" noChangeArrowheads="1"/>
        </xdr:cNvSpPr>
      </xdr:nvSpPr>
      <xdr:spPr bwMode="auto">
        <a:xfrm>
          <a:off x="685800" y="27936825"/>
          <a:ext cx="2286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238125</xdr:colOff>
      <xdr:row>131</xdr:row>
      <xdr:rowOff>190500</xdr:rowOff>
    </xdr:to>
    <xdr:sp macro="" textlink="">
      <xdr:nvSpPr>
        <xdr:cNvPr id="1143" name="AutoShape 119" descr="119새박스아이콘">
          <a:hlinkClick xmlns:r="http://schemas.openxmlformats.org/officeDocument/2006/relationships" r:id="rId119" tooltip="왕콘치 (포켓몬)"/>
          <a:extLst>
            <a:ext uri="{FF2B5EF4-FFF2-40B4-BE49-F238E27FC236}">
              <a16:creationId xmlns:a16="http://schemas.microsoft.com/office/drawing/2014/main" id="{2EE3FD55-9C94-0B4D-77C6-ED710769E569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146375"/>
          <a:ext cx="2381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161925</xdr:colOff>
      <xdr:row>132</xdr:row>
      <xdr:rowOff>161925</xdr:rowOff>
    </xdr:to>
    <xdr:sp macro="" textlink="">
      <xdr:nvSpPr>
        <xdr:cNvPr id="1144" name="AutoShape 120" descr="120새박스아이콘">
          <a:hlinkClick xmlns:r="http://schemas.openxmlformats.org/officeDocument/2006/relationships" r:id="rId120" tooltip="별가사리 (포켓몬)"/>
          <a:extLst>
            <a:ext uri="{FF2B5EF4-FFF2-40B4-BE49-F238E27FC236}">
              <a16:creationId xmlns:a16="http://schemas.microsoft.com/office/drawing/2014/main" id="{B6E010CB-3F04-8B23-4ABD-4E6D5566D876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3559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180975</xdr:colOff>
      <xdr:row>133</xdr:row>
      <xdr:rowOff>171450</xdr:rowOff>
    </xdr:to>
    <xdr:sp macro="" textlink="">
      <xdr:nvSpPr>
        <xdr:cNvPr id="1145" name="AutoShape 121" descr="121새박스아이콘">
          <a:hlinkClick xmlns:r="http://schemas.openxmlformats.org/officeDocument/2006/relationships" r:id="rId121" tooltip="아쿠스타 (포켓몬)"/>
          <a:extLst>
            <a:ext uri="{FF2B5EF4-FFF2-40B4-BE49-F238E27FC236}">
              <a16:creationId xmlns:a16="http://schemas.microsoft.com/office/drawing/2014/main" id="{4CB4B6E0-161C-52EF-AFAF-1177F553DD22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65475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161925</xdr:colOff>
      <xdr:row>134</xdr:row>
      <xdr:rowOff>171450</xdr:rowOff>
    </xdr:to>
    <xdr:sp macro="" textlink="">
      <xdr:nvSpPr>
        <xdr:cNvPr id="1146" name="AutoShape 122" descr="122새박스아이콘">
          <a:hlinkClick xmlns:r="http://schemas.openxmlformats.org/officeDocument/2006/relationships" r:id="rId122" tooltip="마임맨 (포켓몬)"/>
          <a:extLst>
            <a:ext uri="{FF2B5EF4-FFF2-40B4-BE49-F238E27FC236}">
              <a16:creationId xmlns:a16="http://schemas.microsoft.com/office/drawing/2014/main" id="{23FADA63-7B0F-104B-9E79-E51BF7363894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775025"/>
          <a:ext cx="1619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180975</xdr:colOff>
      <xdr:row>135</xdr:row>
      <xdr:rowOff>180975</xdr:rowOff>
    </xdr:to>
    <xdr:sp macro="" textlink="">
      <xdr:nvSpPr>
        <xdr:cNvPr id="1147" name="AutoShape 123" descr="123새박스아이콘">
          <a:hlinkClick xmlns:r="http://schemas.openxmlformats.org/officeDocument/2006/relationships" r:id="rId123" tooltip="스라크 (포켓몬)"/>
          <a:extLst>
            <a:ext uri="{FF2B5EF4-FFF2-40B4-BE49-F238E27FC236}">
              <a16:creationId xmlns:a16="http://schemas.microsoft.com/office/drawing/2014/main" id="{F1F34125-F2AF-9322-FBEC-66F937880FD7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984575"/>
          <a:ext cx="1809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200025</xdr:colOff>
      <xdr:row>136</xdr:row>
      <xdr:rowOff>190500</xdr:rowOff>
    </xdr:to>
    <xdr:sp macro="" textlink="">
      <xdr:nvSpPr>
        <xdr:cNvPr id="1148" name="AutoShape 124" descr="124새박스아이콘">
          <a:hlinkClick xmlns:r="http://schemas.openxmlformats.org/officeDocument/2006/relationships" r:id="rId124" tooltip="루주라 (포켓몬)"/>
          <a:extLst>
            <a:ext uri="{FF2B5EF4-FFF2-40B4-BE49-F238E27FC236}">
              <a16:creationId xmlns:a16="http://schemas.microsoft.com/office/drawing/2014/main" id="{ACB8C382-8387-2439-E9FE-F2126B9A8682}"/>
            </a:ext>
          </a:extLst>
        </xdr:cNvPr>
        <xdr:cNvSpPr>
          <a:spLocks noChangeAspect="1" noChangeArrowheads="1"/>
        </xdr:cNvSpPr>
      </xdr:nvSpPr>
      <xdr:spPr bwMode="auto">
        <a:xfrm>
          <a:off x="685800" y="29194125"/>
          <a:ext cx="2000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200025</xdr:colOff>
      <xdr:row>138</xdr:row>
      <xdr:rowOff>0</xdr:rowOff>
    </xdr:to>
    <xdr:sp macro="" textlink="">
      <xdr:nvSpPr>
        <xdr:cNvPr id="1149" name="AutoShape 125" descr="125새박스아이콘">
          <a:hlinkClick xmlns:r="http://schemas.openxmlformats.org/officeDocument/2006/relationships" r:id="rId125" tooltip="에레브 (포켓몬)"/>
          <a:extLst>
            <a:ext uri="{FF2B5EF4-FFF2-40B4-BE49-F238E27FC236}">
              <a16:creationId xmlns:a16="http://schemas.microsoft.com/office/drawing/2014/main" id="{F5206950-6917-F49D-6262-9178123B0267}"/>
            </a:ext>
          </a:extLst>
        </xdr:cNvPr>
        <xdr:cNvSpPr>
          <a:spLocks noChangeAspect="1" noChangeArrowheads="1"/>
        </xdr:cNvSpPr>
      </xdr:nvSpPr>
      <xdr:spPr bwMode="auto">
        <a:xfrm>
          <a:off x="685800" y="29403675"/>
          <a:ext cx="2000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9525</xdr:rowOff>
    </xdr:from>
    <xdr:to>
      <xdr:col>1</xdr:col>
      <xdr:colOff>209550</xdr:colOff>
      <xdr:row>139</xdr:row>
      <xdr:rowOff>19050</xdr:rowOff>
    </xdr:to>
    <xdr:sp macro="" textlink="">
      <xdr:nvSpPr>
        <xdr:cNvPr id="1150" name="AutoShape 126" descr="126새박스아이콘">
          <a:hlinkClick xmlns:r="http://schemas.openxmlformats.org/officeDocument/2006/relationships" r:id="rId126" tooltip="마그마 (포켓몬)"/>
          <a:extLst>
            <a:ext uri="{FF2B5EF4-FFF2-40B4-BE49-F238E27FC236}">
              <a16:creationId xmlns:a16="http://schemas.microsoft.com/office/drawing/2014/main" id="{4AF5A0DC-623F-D65C-524F-5642C7C0B7AF}"/>
            </a:ext>
          </a:extLst>
        </xdr:cNvPr>
        <xdr:cNvSpPr>
          <a:spLocks noChangeAspect="1" noChangeArrowheads="1"/>
        </xdr:cNvSpPr>
      </xdr:nvSpPr>
      <xdr:spPr bwMode="auto">
        <a:xfrm>
          <a:off x="685800" y="2962275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28575</xdr:rowOff>
    </xdr:from>
    <xdr:to>
      <xdr:col>1</xdr:col>
      <xdr:colOff>219075</xdr:colOff>
      <xdr:row>140</xdr:row>
      <xdr:rowOff>19050</xdr:rowOff>
    </xdr:to>
    <xdr:sp macro="" textlink="">
      <xdr:nvSpPr>
        <xdr:cNvPr id="1151" name="AutoShape 127" descr="127새박스아이콘">
          <a:hlinkClick xmlns:r="http://schemas.openxmlformats.org/officeDocument/2006/relationships" r:id="rId127" tooltip="쁘사이저 (포켓몬)"/>
          <a:extLst>
            <a:ext uri="{FF2B5EF4-FFF2-40B4-BE49-F238E27FC236}">
              <a16:creationId xmlns:a16="http://schemas.microsoft.com/office/drawing/2014/main" id="{2C1369F4-62D8-99D6-BA80-6E1CDA830B6D}"/>
            </a:ext>
          </a:extLst>
        </xdr:cNvPr>
        <xdr:cNvSpPr>
          <a:spLocks noChangeAspect="1" noChangeArrowheads="1"/>
        </xdr:cNvSpPr>
      </xdr:nvSpPr>
      <xdr:spPr bwMode="auto">
        <a:xfrm>
          <a:off x="685800" y="29851350"/>
          <a:ext cx="2190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238125</xdr:colOff>
      <xdr:row>140</xdr:row>
      <xdr:rowOff>200025</xdr:rowOff>
    </xdr:to>
    <xdr:sp macro="" textlink="">
      <xdr:nvSpPr>
        <xdr:cNvPr id="1152" name="AutoShape 128" descr="128새박스아이콘">
          <a:hlinkClick xmlns:r="http://schemas.openxmlformats.org/officeDocument/2006/relationships" r:id="rId128" tooltip="켄타로스 (포켓몬)"/>
          <a:extLst>
            <a:ext uri="{FF2B5EF4-FFF2-40B4-BE49-F238E27FC236}">
              <a16:creationId xmlns:a16="http://schemas.microsoft.com/office/drawing/2014/main" id="{4E620D31-CCCE-FCE9-2B1B-487EB20CCCF3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032325"/>
          <a:ext cx="238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209550</xdr:colOff>
      <xdr:row>142</xdr:row>
      <xdr:rowOff>19050</xdr:rowOff>
    </xdr:to>
    <xdr:sp macro="" textlink="">
      <xdr:nvSpPr>
        <xdr:cNvPr id="1153" name="AutoShape 129" descr="129새박스아이콘">
          <a:hlinkClick xmlns:r="http://schemas.openxmlformats.org/officeDocument/2006/relationships" r:id="rId129" tooltip="잉어킹 (포켓몬)"/>
          <a:extLst>
            <a:ext uri="{FF2B5EF4-FFF2-40B4-BE49-F238E27FC236}">
              <a16:creationId xmlns:a16="http://schemas.microsoft.com/office/drawing/2014/main" id="{70688241-2B04-8159-DBF0-CFF50A85E75F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241875"/>
          <a:ext cx="20955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28575</xdr:rowOff>
    </xdr:from>
    <xdr:to>
      <xdr:col>1</xdr:col>
      <xdr:colOff>276225</xdr:colOff>
      <xdr:row>143</xdr:row>
      <xdr:rowOff>85725</xdr:rowOff>
    </xdr:to>
    <xdr:sp macro="" textlink="">
      <xdr:nvSpPr>
        <xdr:cNvPr id="1154" name="AutoShape 130" descr="130새박스아이콘">
          <a:hlinkClick xmlns:r="http://schemas.openxmlformats.org/officeDocument/2006/relationships" r:id="rId130" tooltip="갸라도스 (포켓몬)"/>
          <a:extLst>
            <a:ext uri="{FF2B5EF4-FFF2-40B4-BE49-F238E27FC236}">
              <a16:creationId xmlns:a16="http://schemas.microsoft.com/office/drawing/2014/main" id="{E41498E1-13C8-C023-783C-DF23CA658266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480000"/>
          <a:ext cx="27622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95250</xdr:rowOff>
    </xdr:from>
    <xdr:to>
      <xdr:col>1</xdr:col>
      <xdr:colOff>228600</xdr:colOff>
      <xdr:row>144</xdr:row>
      <xdr:rowOff>85725</xdr:rowOff>
    </xdr:to>
    <xdr:sp macro="" textlink="">
      <xdr:nvSpPr>
        <xdr:cNvPr id="1155" name="AutoShape 131" descr="131새박스아이콘">
          <a:hlinkClick xmlns:r="http://schemas.openxmlformats.org/officeDocument/2006/relationships" r:id="rId131" tooltip="라프라스 (포켓몬)"/>
          <a:extLst>
            <a:ext uri="{FF2B5EF4-FFF2-40B4-BE49-F238E27FC236}">
              <a16:creationId xmlns:a16="http://schemas.microsoft.com/office/drawing/2014/main" id="{53261E51-F3FD-9629-6F68-470334AF8834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756225"/>
          <a:ext cx="2286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123825</xdr:rowOff>
    </xdr:to>
    <xdr:sp macro="" textlink="">
      <xdr:nvSpPr>
        <xdr:cNvPr id="1156" name="AutoShape 132" descr="132새박스아이콘">
          <a:hlinkClick xmlns:r="http://schemas.openxmlformats.org/officeDocument/2006/relationships" r:id="rId132" tooltip="메타몽 (포켓몬)"/>
          <a:extLst>
            <a:ext uri="{FF2B5EF4-FFF2-40B4-BE49-F238E27FC236}">
              <a16:creationId xmlns:a16="http://schemas.microsoft.com/office/drawing/2014/main" id="{995B2FB6-DE48-70BC-6597-CD3FCFD23A97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870525"/>
          <a:ext cx="1524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161925</xdr:colOff>
      <xdr:row>145</xdr:row>
      <xdr:rowOff>171450</xdr:rowOff>
    </xdr:to>
    <xdr:sp macro="" textlink="">
      <xdr:nvSpPr>
        <xdr:cNvPr id="1157" name="AutoShape 133" descr="133새박스아이콘">
          <a:hlinkClick xmlns:r="http://schemas.openxmlformats.org/officeDocument/2006/relationships" r:id="rId133" tooltip="이브이 (포켓몬)"/>
          <a:extLst>
            <a:ext uri="{FF2B5EF4-FFF2-40B4-BE49-F238E27FC236}">
              <a16:creationId xmlns:a16="http://schemas.microsoft.com/office/drawing/2014/main" id="{1D87FE69-A22D-E8C2-A101-AE164A49F688}"/>
            </a:ext>
          </a:extLst>
        </xdr:cNvPr>
        <xdr:cNvSpPr>
          <a:spLocks noChangeAspect="1" noChangeArrowheads="1"/>
        </xdr:cNvSpPr>
      </xdr:nvSpPr>
      <xdr:spPr bwMode="auto">
        <a:xfrm>
          <a:off x="685800" y="31080075"/>
          <a:ext cx="1619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219075</xdr:colOff>
      <xdr:row>146</xdr:row>
      <xdr:rowOff>200025</xdr:rowOff>
    </xdr:to>
    <xdr:sp macro="" textlink="">
      <xdr:nvSpPr>
        <xdr:cNvPr id="1158" name="AutoShape 134" descr="134새박스아이콘">
          <a:hlinkClick xmlns:r="http://schemas.openxmlformats.org/officeDocument/2006/relationships" r:id="rId134" tooltip="샤미드 (포켓몬)"/>
          <a:extLst>
            <a:ext uri="{FF2B5EF4-FFF2-40B4-BE49-F238E27FC236}">
              <a16:creationId xmlns:a16="http://schemas.microsoft.com/office/drawing/2014/main" id="{C7F2775D-21EC-F3B4-0C7D-B5B276D7BD71}"/>
            </a:ext>
          </a:extLst>
        </xdr:cNvPr>
        <xdr:cNvSpPr>
          <a:spLocks noChangeAspect="1" noChangeArrowheads="1"/>
        </xdr:cNvSpPr>
      </xdr:nvSpPr>
      <xdr:spPr bwMode="auto">
        <a:xfrm>
          <a:off x="685800" y="31289625"/>
          <a:ext cx="2190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190500</xdr:colOff>
      <xdr:row>147</xdr:row>
      <xdr:rowOff>200025</xdr:rowOff>
    </xdr:to>
    <xdr:sp macro="" textlink="">
      <xdr:nvSpPr>
        <xdr:cNvPr id="1159" name="AutoShape 135" descr="135새박스아이콘">
          <a:hlinkClick xmlns:r="http://schemas.openxmlformats.org/officeDocument/2006/relationships" r:id="rId135" tooltip="쥬피썬더 (포켓몬)"/>
          <a:extLst>
            <a:ext uri="{FF2B5EF4-FFF2-40B4-BE49-F238E27FC236}">
              <a16:creationId xmlns:a16="http://schemas.microsoft.com/office/drawing/2014/main" id="{304147FA-58E6-5389-8203-B080E244C439}"/>
            </a:ext>
          </a:extLst>
        </xdr:cNvPr>
        <xdr:cNvSpPr>
          <a:spLocks noChangeAspect="1" noChangeArrowheads="1"/>
        </xdr:cNvSpPr>
      </xdr:nvSpPr>
      <xdr:spPr bwMode="auto">
        <a:xfrm>
          <a:off x="685800" y="314991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219075</xdr:colOff>
      <xdr:row>148</xdr:row>
      <xdr:rowOff>200025</xdr:rowOff>
    </xdr:to>
    <xdr:sp macro="" textlink="">
      <xdr:nvSpPr>
        <xdr:cNvPr id="1160" name="AutoShape 136" descr="136새박스아이콘">
          <a:hlinkClick xmlns:r="http://schemas.openxmlformats.org/officeDocument/2006/relationships" r:id="rId136" tooltip="부스터 (포켓몬)"/>
          <a:extLst>
            <a:ext uri="{FF2B5EF4-FFF2-40B4-BE49-F238E27FC236}">
              <a16:creationId xmlns:a16="http://schemas.microsoft.com/office/drawing/2014/main" id="{ABA5E5A7-595B-D42B-65D2-AFFD11CABB6D}"/>
            </a:ext>
          </a:extLst>
        </xdr:cNvPr>
        <xdr:cNvSpPr>
          <a:spLocks noChangeAspect="1" noChangeArrowheads="1"/>
        </xdr:cNvSpPr>
      </xdr:nvSpPr>
      <xdr:spPr bwMode="auto">
        <a:xfrm>
          <a:off x="685800" y="31708725"/>
          <a:ext cx="2190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180975</xdr:colOff>
      <xdr:row>149</xdr:row>
      <xdr:rowOff>171450</xdr:rowOff>
    </xdr:to>
    <xdr:sp macro="" textlink="">
      <xdr:nvSpPr>
        <xdr:cNvPr id="1161" name="AutoShape 137" descr="137새박스아이콘">
          <a:hlinkClick xmlns:r="http://schemas.openxmlformats.org/officeDocument/2006/relationships" r:id="rId137" tooltip="폴리곤 (포켓몬)"/>
          <a:extLst>
            <a:ext uri="{FF2B5EF4-FFF2-40B4-BE49-F238E27FC236}">
              <a16:creationId xmlns:a16="http://schemas.microsoft.com/office/drawing/2014/main" id="{262D44B8-AA91-B167-40E4-791AB6B1C43A}"/>
            </a:ext>
          </a:extLst>
        </xdr:cNvPr>
        <xdr:cNvSpPr>
          <a:spLocks noChangeAspect="1" noChangeArrowheads="1"/>
        </xdr:cNvSpPr>
      </xdr:nvSpPr>
      <xdr:spPr bwMode="auto">
        <a:xfrm>
          <a:off x="685800" y="31918275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171450</xdr:colOff>
      <xdr:row>150</xdr:row>
      <xdr:rowOff>171450</xdr:rowOff>
    </xdr:to>
    <xdr:sp macro="" textlink="">
      <xdr:nvSpPr>
        <xdr:cNvPr id="1162" name="AutoShape 138" descr="138새박스아이콘">
          <a:hlinkClick xmlns:r="http://schemas.openxmlformats.org/officeDocument/2006/relationships" r:id="rId138" tooltip="암나이트 (포켓몬)"/>
          <a:extLst>
            <a:ext uri="{FF2B5EF4-FFF2-40B4-BE49-F238E27FC236}">
              <a16:creationId xmlns:a16="http://schemas.microsoft.com/office/drawing/2014/main" id="{3E2E6D8F-D913-BD44-4EA7-16237E716B52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1278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209550</xdr:colOff>
      <xdr:row>152</xdr:row>
      <xdr:rowOff>0</xdr:rowOff>
    </xdr:to>
    <xdr:sp macro="" textlink="">
      <xdr:nvSpPr>
        <xdr:cNvPr id="1163" name="AutoShape 139" descr="139새박스아이콘">
          <a:hlinkClick xmlns:r="http://schemas.openxmlformats.org/officeDocument/2006/relationships" r:id="rId139" tooltip="암스타 (포켓몬)"/>
          <a:extLst>
            <a:ext uri="{FF2B5EF4-FFF2-40B4-BE49-F238E27FC236}">
              <a16:creationId xmlns:a16="http://schemas.microsoft.com/office/drawing/2014/main" id="{96124591-3A5A-5FEF-20DD-FDA999F89EE8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337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9525</xdr:rowOff>
    </xdr:from>
    <xdr:to>
      <xdr:col>1</xdr:col>
      <xdr:colOff>152400</xdr:colOff>
      <xdr:row>152</xdr:row>
      <xdr:rowOff>133350</xdr:rowOff>
    </xdr:to>
    <xdr:sp macro="" textlink="">
      <xdr:nvSpPr>
        <xdr:cNvPr id="1164" name="AutoShape 140" descr="140새박스아이콘">
          <a:hlinkClick xmlns:r="http://schemas.openxmlformats.org/officeDocument/2006/relationships" r:id="rId140" tooltip="투구 (포켓몬)"/>
          <a:extLst>
            <a:ext uri="{FF2B5EF4-FFF2-40B4-BE49-F238E27FC236}">
              <a16:creationId xmlns:a16="http://schemas.microsoft.com/office/drawing/2014/main" id="{EC422A57-0D52-F830-9D96-596B9BB12CA0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556450"/>
          <a:ext cx="1524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180975</xdr:colOff>
      <xdr:row>153</xdr:row>
      <xdr:rowOff>200025</xdr:rowOff>
    </xdr:to>
    <xdr:sp macro="" textlink="">
      <xdr:nvSpPr>
        <xdr:cNvPr id="1165" name="AutoShape 141" descr="141새박스아이콘">
          <a:hlinkClick xmlns:r="http://schemas.openxmlformats.org/officeDocument/2006/relationships" r:id="rId141" tooltip="투구푸스 (포켓몬)"/>
          <a:extLst>
            <a:ext uri="{FF2B5EF4-FFF2-40B4-BE49-F238E27FC236}">
              <a16:creationId xmlns:a16="http://schemas.microsoft.com/office/drawing/2014/main" id="{89333490-198F-868B-8C29-4C1FB80C18A9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756475"/>
          <a:ext cx="1809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276225</xdr:colOff>
      <xdr:row>155</xdr:row>
      <xdr:rowOff>0</xdr:rowOff>
    </xdr:to>
    <xdr:sp macro="" textlink="">
      <xdr:nvSpPr>
        <xdr:cNvPr id="1166" name="AutoShape 142" descr="142새박스아이콘">
          <a:hlinkClick xmlns:r="http://schemas.openxmlformats.org/officeDocument/2006/relationships" r:id="rId142" tooltip="프테라 (포켓몬)"/>
          <a:extLst>
            <a:ext uri="{FF2B5EF4-FFF2-40B4-BE49-F238E27FC236}">
              <a16:creationId xmlns:a16="http://schemas.microsoft.com/office/drawing/2014/main" id="{472E8FE0-3ADD-EFC9-73FF-A6094DFB1A6A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966025"/>
          <a:ext cx="2762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9525</xdr:rowOff>
    </xdr:from>
    <xdr:to>
      <xdr:col>1</xdr:col>
      <xdr:colOff>257175</xdr:colOff>
      <xdr:row>156</xdr:row>
      <xdr:rowOff>28575</xdr:rowOff>
    </xdr:to>
    <xdr:sp macro="" textlink="">
      <xdr:nvSpPr>
        <xdr:cNvPr id="1167" name="AutoShape 143" descr="143새박스아이콘">
          <a:hlinkClick xmlns:r="http://schemas.openxmlformats.org/officeDocument/2006/relationships" r:id="rId143" tooltip="잠만보 (포켓몬)"/>
          <a:extLst>
            <a:ext uri="{FF2B5EF4-FFF2-40B4-BE49-F238E27FC236}">
              <a16:creationId xmlns:a16="http://schemas.microsoft.com/office/drawing/2014/main" id="{66637D80-BD94-7503-B7CB-1647F7C93AD9}"/>
            </a:ext>
          </a:extLst>
        </xdr:cNvPr>
        <xdr:cNvSpPr>
          <a:spLocks noChangeAspect="1" noChangeArrowheads="1"/>
        </xdr:cNvSpPr>
      </xdr:nvSpPr>
      <xdr:spPr bwMode="auto">
        <a:xfrm>
          <a:off x="685800" y="33185100"/>
          <a:ext cx="25717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38100</xdr:rowOff>
    </xdr:from>
    <xdr:to>
      <xdr:col>1</xdr:col>
      <xdr:colOff>257175</xdr:colOff>
      <xdr:row>157</xdr:row>
      <xdr:rowOff>19050</xdr:rowOff>
    </xdr:to>
    <xdr:sp macro="" textlink="">
      <xdr:nvSpPr>
        <xdr:cNvPr id="1168" name="AutoShape 144" descr="144새박스아이콘">
          <a:hlinkClick xmlns:r="http://schemas.openxmlformats.org/officeDocument/2006/relationships" r:id="rId144" tooltip="프리져 (포켓몬)"/>
          <a:extLst>
            <a:ext uri="{FF2B5EF4-FFF2-40B4-BE49-F238E27FC236}">
              <a16:creationId xmlns:a16="http://schemas.microsoft.com/office/drawing/2014/main" id="{34CB7A27-6681-C318-D463-36E0A870638D}"/>
            </a:ext>
          </a:extLst>
        </xdr:cNvPr>
        <xdr:cNvSpPr>
          <a:spLocks noChangeAspect="1" noChangeArrowheads="1"/>
        </xdr:cNvSpPr>
      </xdr:nvSpPr>
      <xdr:spPr bwMode="auto">
        <a:xfrm>
          <a:off x="685800" y="33423225"/>
          <a:ext cx="2571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276225</xdr:colOff>
      <xdr:row>157</xdr:row>
      <xdr:rowOff>180975</xdr:rowOff>
    </xdr:to>
    <xdr:sp macro="" textlink="">
      <xdr:nvSpPr>
        <xdr:cNvPr id="1169" name="AutoShape 145" descr="145새박스아이콘">
          <a:hlinkClick xmlns:r="http://schemas.openxmlformats.org/officeDocument/2006/relationships" r:id="rId145" tooltip="썬더 (포켓몬)"/>
          <a:extLst>
            <a:ext uri="{FF2B5EF4-FFF2-40B4-BE49-F238E27FC236}">
              <a16:creationId xmlns:a16="http://schemas.microsoft.com/office/drawing/2014/main" id="{E25F10B9-2AF7-8EC4-D8E7-F993ECE6BABB}"/>
            </a:ext>
          </a:extLst>
        </xdr:cNvPr>
        <xdr:cNvSpPr>
          <a:spLocks noChangeAspect="1" noChangeArrowheads="1"/>
        </xdr:cNvSpPr>
      </xdr:nvSpPr>
      <xdr:spPr bwMode="auto">
        <a:xfrm>
          <a:off x="685800" y="33594675"/>
          <a:ext cx="2762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266700</xdr:colOff>
      <xdr:row>158</xdr:row>
      <xdr:rowOff>171450</xdr:rowOff>
    </xdr:to>
    <xdr:sp macro="" textlink="">
      <xdr:nvSpPr>
        <xdr:cNvPr id="1170" name="AutoShape 146" descr="146새박스아이콘">
          <a:hlinkClick xmlns:r="http://schemas.openxmlformats.org/officeDocument/2006/relationships" r:id="rId146" tooltip="파이어 (포켓몬)"/>
          <a:extLst>
            <a:ext uri="{FF2B5EF4-FFF2-40B4-BE49-F238E27FC236}">
              <a16:creationId xmlns:a16="http://schemas.microsoft.com/office/drawing/2014/main" id="{A9EFB9FF-436E-6B7E-D04D-866DE3DF9A6A}"/>
            </a:ext>
          </a:extLst>
        </xdr:cNvPr>
        <xdr:cNvSpPr>
          <a:spLocks noChangeAspect="1" noChangeArrowheads="1"/>
        </xdr:cNvSpPr>
      </xdr:nvSpPr>
      <xdr:spPr bwMode="auto">
        <a:xfrm>
          <a:off x="685800" y="33804225"/>
          <a:ext cx="2667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190500</xdr:colOff>
      <xdr:row>159</xdr:row>
      <xdr:rowOff>171450</xdr:rowOff>
    </xdr:to>
    <xdr:sp macro="" textlink="">
      <xdr:nvSpPr>
        <xdr:cNvPr id="1171" name="AutoShape 147" descr="147새박스아이콘">
          <a:hlinkClick xmlns:r="http://schemas.openxmlformats.org/officeDocument/2006/relationships" r:id="rId147" tooltip="미뇽 (포켓몬)"/>
          <a:extLst>
            <a:ext uri="{FF2B5EF4-FFF2-40B4-BE49-F238E27FC236}">
              <a16:creationId xmlns:a16="http://schemas.microsoft.com/office/drawing/2014/main" id="{CFB0AD23-E653-9FC1-E1F8-EA717B067949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0137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209550</xdr:colOff>
      <xdr:row>161</xdr:row>
      <xdr:rowOff>0</xdr:rowOff>
    </xdr:to>
    <xdr:sp macro="" textlink="">
      <xdr:nvSpPr>
        <xdr:cNvPr id="1172" name="AutoShape 148" descr="148새박스아이콘">
          <a:hlinkClick xmlns:r="http://schemas.openxmlformats.org/officeDocument/2006/relationships" r:id="rId148" tooltip="신뇽 (포켓몬)"/>
          <a:extLst>
            <a:ext uri="{FF2B5EF4-FFF2-40B4-BE49-F238E27FC236}">
              <a16:creationId xmlns:a16="http://schemas.microsoft.com/office/drawing/2014/main" id="{E244E660-C8A8-C529-DF93-672A7973126C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223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9525</xdr:rowOff>
    </xdr:from>
    <xdr:to>
      <xdr:col>1</xdr:col>
      <xdr:colOff>238125</xdr:colOff>
      <xdr:row>162</xdr:row>
      <xdr:rowOff>9525</xdr:rowOff>
    </xdr:to>
    <xdr:sp macro="" textlink="">
      <xdr:nvSpPr>
        <xdr:cNvPr id="1173" name="AutoShape 149" descr="149새박스아이콘">
          <a:hlinkClick xmlns:r="http://schemas.openxmlformats.org/officeDocument/2006/relationships" r:id="rId149" tooltip="망나뇽 (포켓몬)"/>
          <a:extLst>
            <a:ext uri="{FF2B5EF4-FFF2-40B4-BE49-F238E27FC236}">
              <a16:creationId xmlns:a16="http://schemas.microsoft.com/office/drawing/2014/main" id="{8E7FC6BB-1DF8-BED9-B11E-67848DEBEE87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442400"/>
          <a:ext cx="2381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19050</xdr:rowOff>
    </xdr:from>
    <xdr:to>
      <xdr:col>1</xdr:col>
      <xdr:colOff>190500</xdr:colOff>
      <xdr:row>163</xdr:row>
      <xdr:rowOff>28575</xdr:rowOff>
    </xdr:to>
    <xdr:sp macro="" textlink="">
      <xdr:nvSpPr>
        <xdr:cNvPr id="1174" name="AutoShape 150" descr="150새박스아이콘">
          <a:hlinkClick xmlns:r="http://schemas.openxmlformats.org/officeDocument/2006/relationships" r:id="rId150" tooltip="뮤츠 (포켓몬)"/>
          <a:extLst>
            <a:ext uri="{FF2B5EF4-FFF2-40B4-BE49-F238E27FC236}">
              <a16:creationId xmlns:a16="http://schemas.microsoft.com/office/drawing/2014/main" id="{75C07573-31F9-35F0-9830-6A36026E9863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661475"/>
          <a:ext cx="1905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38100</xdr:rowOff>
    </xdr:from>
    <xdr:to>
      <xdr:col>1</xdr:col>
      <xdr:colOff>219075</xdr:colOff>
      <xdr:row>164</xdr:row>
      <xdr:rowOff>57150</xdr:rowOff>
    </xdr:to>
    <xdr:sp macro="" textlink="">
      <xdr:nvSpPr>
        <xdr:cNvPr id="1175" name="AutoShape 151" descr="151새박스아이콘">
          <a:hlinkClick xmlns:r="http://schemas.openxmlformats.org/officeDocument/2006/relationships" r:id="rId151" tooltip="뮤 (포켓몬)"/>
          <a:extLst>
            <a:ext uri="{FF2B5EF4-FFF2-40B4-BE49-F238E27FC236}">
              <a16:creationId xmlns:a16="http://schemas.microsoft.com/office/drawing/2014/main" id="{4268BBB8-5E8A-AFE0-2090-71BFC8CC11A7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890075"/>
          <a:ext cx="2190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okemon.fandom.com/ko/wiki/%EC%8F%98%EB%93%9C%EB%9D%BC_(%ED%8F%AC%EC%BC%93%EB%AA%AC)" TargetMode="External"/><Relationship Id="rId21" Type="http://schemas.openxmlformats.org/officeDocument/2006/relationships/hyperlink" Target="https://pokemon.fandom.com/ko/wiki/%EB%A0%88%ED%8A%B8%EB%9D%BC_(%ED%8F%AC%EC%BC%93%EB%AA%AC)" TargetMode="External"/><Relationship Id="rId42" Type="http://schemas.openxmlformats.org/officeDocument/2006/relationships/hyperlink" Target="https://pokemon.fandom.com/ko/wiki/%EC%A3%BC%EB%B1%83_(%ED%8F%AC%EC%BC%93%EB%AA%AC)" TargetMode="External"/><Relationship Id="rId63" Type="http://schemas.openxmlformats.org/officeDocument/2006/relationships/hyperlink" Target="https://pokemon.fandom.com/ko/wiki/%EA%B0%95%EC%B1%99%EC%9D%B4_(%ED%8F%AC%EC%BC%93%EB%AA%AC)" TargetMode="External"/><Relationship Id="rId84" Type="http://schemas.openxmlformats.org/officeDocument/2006/relationships/hyperlink" Target="https://pokemon.fandom.com/ko/wiki/%ED%8C%8C%EC%98%A4%EB%A6%AC_(%ED%8F%AC%EC%BC%93%EB%AA%AC)" TargetMode="External"/><Relationship Id="rId138" Type="http://schemas.openxmlformats.org/officeDocument/2006/relationships/hyperlink" Target="https://pokemon.fandom.com/ko/wiki/%ED%8F%B4%EB%A6%AC%EA%B3%A4_(%ED%8F%AC%EC%BC%93%EB%AA%AC)" TargetMode="External"/><Relationship Id="rId107" Type="http://schemas.openxmlformats.org/officeDocument/2006/relationships/hyperlink" Target="https://pokemon.fandom.com/ko/wiki/%EC%8B%9C%EB%9D%BC%EC%86%8C%EB%AA%AC_(%ED%8F%AC%EC%BC%93%EB%AA%AC)" TargetMode="External"/><Relationship Id="rId11" Type="http://schemas.openxmlformats.org/officeDocument/2006/relationships/hyperlink" Target="https://pokemon.fandom.com/ko/wiki/%EC%BA%90%ED%84%B0%ED%94%BC_(%ED%8F%AC%EC%BC%93%EB%AA%AC)" TargetMode="External"/><Relationship Id="rId32" Type="http://schemas.openxmlformats.org/officeDocument/2006/relationships/hyperlink" Target="https://pokemon.fandom.com/ko/wiki/%EB%8B%88%EB%93%9C%ED%80%B8_(%ED%8F%AC%EC%BC%93%EB%AA%AC)" TargetMode="External"/><Relationship Id="rId53" Type="http://schemas.openxmlformats.org/officeDocument/2006/relationships/hyperlink" Target="https://pokemon.fandom.com/ko/wiki/%EB%82%98%EC%98%B9_(%ED%8F%AC%EC%BC%93%EB%AA%AC)" TargetMode="External"/><Relationship Id="rId74" Type="http://schemas.openxmlformats.org/officeDocument/2006/relationships/hyperlink" Target="https://pokemon.fandom.com/ko/wiki/%EB%8F%85%ED%8C%8C%EB%A6%AC_(%ED%8F%AC%EC%BC%93%EB%AA%AC)" TargetMode="External"/><Relationship Id="rId128" Type="http://schemas.openxmlformats.org/officeDocument/2006/relationships/hyperlink" Target="https://pokemon.fandom.com/ko/wiki/%EC%81%98%EC%82%AC%EC%9D%B4%EC%A0%80_(%ED%8F%AC%EC%BC%93%EB%AA%AC)" TargetMode="External"/><Relationship Id="rId149" Type="http://schemas.openxmlformats.org/officeDocument/2006/relationships/hyperlink" Target="https://pokemon.fandom.com/ko/wiki/%EC%8B%A0%EB%87%BD_(%ED%8F%AC%EC%BC%93%EB%AA%AC)" TargetMode="External"/><Relationship Id="rId5" Type="http://schemas.openxmlformats.org/officeDocument/2006/relationships/hyperlink" Target="https://pokemon.fandom.com/ko/wiki/%ED%8C%8C%EC%9D%B4%EB%A6%AC_(%ED%8F%AC%EC%BC%93%EB%AA%AC)" TargetMode="External"/><Relationship Id="rId95" Type="http://schemas.openxmlformats.org/officeDocument/2006/relationships/hyperlink" Target="https://pokemon.fandom.com/ko/wiki/%ED%8C%AC%ED%85%80_(%ED%8F%AC%EC%BC%93%EB%AA%AC)" TargetMode="External"/><Relationship Id="rId22" Type="http://schemas.openxmlformats.org/officeDocument/2006/relationships/hyperlink" Target="https://pokemon.fandom.com/ko/wiki/%EA%B9%A8%EB%B9%84%EC%B0%B8_(%ED%8F%AC%EC%BC%93%EB%AA%AC)" TargetMode="External"/><Relationship Id="rId27" Type="http://schemas.openxmlformats.org/officeDocument/2006/relationships/hyperlink" Target="https://pokemon.fandom.com/ko/wiki/%EB%9D%BC%EC%9D%B4%EC%B8%84_(%ED%8F%AC%EC%BC%93%EB%AA%AC)" TargetMode="External"/><Relationship Id="rId43" Type="http://schemas.openxmlformats.org/officeDocument/2006/relationships/hyperlink" Target="https://pokemon.fandom.com/ko/wiki/%EA%B3%A8%EB%B1%83_(%ED%8F%AC%EC%BC%93%EB%AA%AC)" TargetMode="External"/><Relationship Id="rId48" Type="http://schemas.openxmlformats.org/officeDocument/2006/relationships/hyperlink" Target="https://pokemon.fandom.com/ko/wiki/%ED%8C%8C%EB%9D%BC%EC%84%B9%ED%8A%B8_(%ED%8F%AC%EC%BC%93%EB%AA%AC)" TargetMode="External"/><Relationship Id="rId64" Type="http://schemas.openxmlformats.org/officeDocument/2006/relationships/hyperlink" Target="https://pokemon.fandom.com/ko/wiki/%EC%BA%90%EC%9D%B4%EC%8B%9C_(%ED%8F%AC%EC%BC%93%EB%AA%AC)" TargetMode="External"/><Relationship Id="rId69" Type="http://schemas.openxmlformats.org/officeDocument/2006/relationships/hyperlink" Target="https://pokemon.fandom.com/ko/wiki/%EA%B4%B4%EB%A0%A5%EB%AA%AC_(%ED%8F%AC%EC%BC%93%EB%AA%AC)" TargetMode="External"/><Relationship Id="rId113" Type="http://schemas.openxmlformats.org/officeDocument/2006/relationships/hyperlink" Target="https://pokemon.fandom.com/ko/wiki/%EC%BD%94%EB%BF%8C%EB%A6%AC_(%ED%8F%AC%EC%BC%93%EB%AA%AC)" TargetMode="External"/><Relationship Id="rId118" Type="http://schemas.openxmlformats.org/officeDocument/2006/relationships/hyperlink" Target="https://pokemon.fandom.com/ko/wiki/%EC%8B%9C%EB%93%9C%EB%9D%BC_(%ED%8F%AC%EC%BC%93%EB%AA%AC)" TargetMode="External"/><Relationship Id="rId134" Type="http://schemas.openxmlformats.org/officeDocument/2006/relationships/hyperlink" Target="https://pokemon.fandom.com/ko/wiki/%EC%9D%B4%EB%B8%8C%EC%9D%B4_(%ED%8F%AC%EC%BC%93%EB%AA%AC)" TargetMode="External"/><Relationship Id="rId139" Type="http://schemas.openxmlformats.org/officeDocument/2006/relationships/hyperlink" Target="https://pokemon.fandom.com/ko/wiki/%EC%95%94%EB%82%98%EC%9D%B4%ED%8A%B8_(%ED%8F%AC%EC%BC%93%EB%AA%AC)" TargetMode="External"/><Relationship Id="rId80" Type="http://schemas.openxmlformats.org/officeDocument/2006/relationships/hyperlink" Target="https://pokemon.fandom.com/ko/wiki/%EC%95%BC%EB%8F%88_(%ED%8F%AC%EC%BC%93%EB%AA%AC)" TargetMode="External"/><Relationship Id="rId85" Type="http://schemas.openxmlformats.org/officeDocument/2006/relationships/hyperlink" Target="https://pokemon.fandom.com/ko/wiki/%EB%91%90%EB%91%90_(%ED%8F%AC%EC%BC%93%EB%AA%AC)" TargetMode="External"/><Relationship Id="rId150" Type="http://schemas.openxmlformats.org/officeDocument/2006/relationships/hyperlink" Target="https://pokemon.fandom.com/ko/wiki/%EB%A7%9D%EB%82%98%EB%87%BD_(%ED%8F%AC%EC%BC%93%EB%AA%AC)" TargetMode="External"/><Relationship Id="rId12" Type="http://schemas.openxmlformats.org/officeDocument/2006/relationships/hyperlink" Target="https://pokemon.fandom.com/ko/wiki/%EB%8B%A8%EB%8D%B0%EA%B8%B0_(%ED%8F%AC%EC%BC%93%EB%AA%AC)" TargetMode="External"/><Relationship Id="rId17" Type="http://schemas.openxmlformats.org/officeDocument/2006/relationships/hyperlink" Target="https://pokemon.fandom.com/ko/wiki/%EA%B5%AC%EA%B5%AC_(%ED%8F%AC%EC%BC%93%EB%AA%AC)" TargetMode="External"/><Relationship Id="rId33" Type="http://schemas.openxmlformats.org/officeDocument/2006/relationships/hyperlink" Target="https://pokemon.fandom.com/ko/wiki/%EB%8B%88%EB%93%9C%EB%9F%B0%E2%99%82_(%ED%8F%AC%EC%BC%93%EB%AA%AC)" TargetMode="External"/><Relationship Id="rId38" Type="http://schemas.openxmlformats.org/officeDocument/2006/relationships/hyperlink" Target="https://pokemon.fandom.com/ko/wiki/%EC%8B%9D%EC%8A%A4%ED%85%8C%EC%9D%BC_(%ED%8F%AC%EC%BC%93%EB%AA%AC)" TargetMode="External"/><Relationship Id="rId59" Type="http://schemas.openxmlformats.org/officeDocument/2006/relationships/hyperlink" Target="https://pokemon.fandom.com/ko/wiki/%EA%B0%80%EB%94%94_(%ED%8F%AC%EC%BC%93%EB%AA%AC)" TargetMode="External"/><Relationship Id="rId103" Type="http://schemas.openxmlformats.org/officeDocument/2006/relationships/hyperlink" Target="https://pokemon.fandom.com/ko/wiki/%EC%95%84%EB%9D%BC%EB%A6%AC_(%ED%8F%AC%EC%BC%93%EB%AA%AC)" TargetMode="External"/><Relationship Id="rId108" Type="http://schemas.openxmlformats.org/officeDocument/2006/relationships/hyperlink" Target="https://pokemon.fandom.com/ko/wiki/%ED%99%8D%EC%88%98%EB%AA%AC_(%ED%8F%AC%EC%BC%93%EB%AA%AC)" TargetMode="External"/><Relationship Id="rId124" Type="http://schemas.openxmlformats.org/officeDocument/2006/relationships/hyperlink" Target="https://pokemon.fandom.com/ko/wiki/%EC%8A%A4%EB%9D%BC%ED%81%AC_(%ED%8F%AC%EC%BC%93%EB%AA%AC)" TargetMode="External"/><Relationship Id="rId129" Type="http://schemas.openxmlformats.org/officeDocument/2006/relationships/hyperlink" Target="https://pokemon.fandom.com/ko/wiki/%EC%BC%84%ED%83%80%EB%A1%9C%EC%8A%A4_(%ED%8F%AC%EC%BC%93%EB%AA%AC)" TargetMode="External"/><Relationship Id="rId54" Type="http://schemas.openxmlformats.org/officeDocument/2006/relationships/hyperlink" Target="https://pokemon.fandom.com/ko/wiki/%ED%8E%98%EB%A5%B4%EC%8B%9C%EC%98%A8_(%ED%8F%AC%EC%BC%93%EB%AA%AC)" TargetMode="External"/><Relationship Id="rId70" Type="http://schemas.openxmlformats.org/officeDocument/2006/relationships/hyperlink" Target="https://pokemon.fandom.com/ko/wiki/%EB%AA%A8%EB%8B%A4%ED%94%BC_(%ED%8F%AC%EC%BC%93%EB%AA%AC)" TargetMode="External"/><Relationship Id="rId75" Type="http://schemas.openxmlformats.org/officeDocument/2006/relationships/hyperlink" Target="https://pokemon.fandom.com/ko/wiki/%EA%BC%AC%EB%A7%88%EB%8F%8C_(%ED%8F%AC%EC%BC%93%EB%AA%AC)" TargetMode="External"/><Relationship Id="rId91" Type="http://schemas.openxmlformats.org/officeDocument/2006/relationships/hyperlink" Target="https://pokemon.fandom.com/ko/wiki/%EC%85%80%EB%9F%AC_(%ED%8F%AC%EC%BC%93%EB%AA%AC)" TargetMode="External"/><Relationship Id="rId96" Type="http://schemas.openxmlformats.org/officeDocument/2006/relationships/hyperlink" Target="https://pokemon.fandom.com/ko/wiki/%EB%A1%B1%EC%8A%A4%ED%86%A4_(%ED%8F%AC%EC%BC%93%EB%AA%AC)" TargetMode="External"/><Relationship Id="rId140" Type="http://schemas.openxmlformats.org/officeDocument/2006/relationships/hyperlink" Target="https://pokemon.fandom.com/ko/wiki/%EC%95%94%EC%8A%A4%ED%83%80_(%ED%8F%AC%EC%BC%93%EB%AA%AC)" TargetMode="External"/><Relationship Id="rId145" Type="http://schemas.openxmlformats.org/officeDocument/2006/relationships/hyperlink" Target="https://pokemon.fandom.com/ko/wiki/%ED%94%84%EB%A6%AC%EC%A0%B8_(%ED%8F%AC%EC%BC%93%EB%AA%AC)" TargetMode="External"/><Relationship Id="rId1" Type="http://schemas.openxmlformats.org/officeDocument/2006/relationships/hyperlink" Target="https://pokemon.fandom.com/ko/wiki/%EC%A0%84%EA%B5%AD%EB%8F%84%EA%B0%90" TargetMode="External"/><Relationship Id="rId6" Type="http://schemas.openxmlformats.org/officeDocument/2006/relationships/hyperlink" Target="https://pokemon.fandom.com/ko/wiki/%EB%A6%AC%EC%9E%90%EB%93%9C_(%ED%8F%AC%EC%BC%93%EB%AA%AC)" TargetMode="External"/><Relationship Id="rId23" Type="http://schemas.openxmlformats.org/officeDocument/2006/relationships/hyperlink" Target="https://pokemon.fandom.com/ko/wiki/%EA%B9%A8%EB%B9%84%EB%93%9C%EB%A6%B4%EC%A1%B0_(%ED%8F%AC%EC%BC%93%EB%AA%AC)" TargetMode="External"/><Relationship Id="rId28" Type="http://schemas.openxmlformats.org/officeDocument/2006/relationships/hyperlink" Target="https://pokemon.fandom.com/ko/wiki/%EB%AA%A8%EB%9E%98%EB%91%90%EC%A7%80_(%ED%8F%AC%EC%BC%93%EB%AA%AC)" TargetMode="External"/><Relationship Id="rId49" Type="http://schemas.openxmlformats.org/officeDocument/2006/relationships/hyperlink" Target="https://pokemon.fandom.com/ko/wiki/%EC%BD%98%ED%8C%A1_(%ED%8F%AC%EC%BC%93%EB%AA%AC)" TargetMode="External"/><Relationship Id="rId114" Type="http://schemas.openxmlformats.org/officeDocument/2006/relationships/hyperlink" Target="https://pokemon.fandom.com/ko/wiki/%EB%9F%AD%ED%82%A4_(%ED%8F%AC%EC%BC%93%EB%AA%AC)" TargetMode="External"/><Relationship Id="rId119" Type="http://schemas.openxmlformats.org/officeDocument/2006/relationships/hyperlink" Target="https://pokemon.fandom.com/ko/wiki/%EC%BD%98%EC%B9%98_(%ED%8F%AC%EC%BC%93%EB%AA%AC)" TargetMode="External"/><Relationship Id="rId44" Type="http://schemas.openxmlformats.org/officeDocument/2006/relationships/hyperlink" Target="https://pokemon.fandom.com/ko/wiki/%EB%9A%9C%EB%B2%85%EC%B5%B8_(%ED%8F%AC%EC%BC%93%EB%AA%AC)" TargetMode="External"/><Relationship Id="rId60" Type="http://schemas.openxmlformats.org/officeDocument/2006/relationships/hyperlink" Target="https://pokemon.fandom.com/ko/wiki/%EC%9C%88%EB%94%94_(%ED%8F%AC%EC%BC%93%EB%AA%AC)" TargetMode="External"/><Relationship Id="rId65" Type="http://schemas.openxmlformats.org/officeDocument/2006/relationships/hyperlink" Target="https://pokemon.fandom.com/ko/wiki/%EC%9C%A4%EA%B2%94%EB%9D%BC_(%ED%8F%AC%EC%BC%93%EB%AA%AC)" TargetMode="External"/><Relationship Id="rId81" Type="http://schemas.openxmlformats.org/officeDocument/2006/relationships/hyperlink" Target="https://pokemon.fandom.com/ko/wiki/%EC%95%BC%EB%8F%84%EB%9E%80_(%ED%8F%AC%EC%BC%93%EB%AA%AC)" TargetMode="External"/><Relationship Id="rId86" Type="http://schemas.openxmlformats.org/officeDocument/2006/relationships/hyperlink" Target="https://pokemon.fandom.com/ko/wiki/%EB%91%90%ED%8A%B8%EB%A6%AC%EC%98%A4_(%ED%8F%AC%EC%BC%93%EB%AA%AC)" TargetMode="External"/><Relationship Id="rId130" Type="http://schemas.openxmlformats.org/officeDocument/2006/relationships/hyperlink" Target="https://pokemon.fandom.com/ko/wiki/%EC%9E%89%EC%96%B4%ED%82%B9_(%ED%8F%AC%EC%BC%93%EB%AA%AC)" TargetMode="External"/><Relationship Id="rId135" Type="http://schemas.openxmlformats.org/officeDocument/2006/relationships/hyperlink" Target="https://pokemon.fandom.com/ko/wiki/%EC%83%A4%EB%AF%B8%EB%93%9C_(%ED%8F%AC%EC%BC%93%EB%AA%AC)" TargetMode="External"/><Relationship Id="rId151" Type="http://schemas.openxmlformats.org/officeDocument/2006/relationships/hyperlink" Target="https://pokemon.fandom.com/ko/wiki/%EB%AE%A4%EC%B8%A0_(%ED%8F%AC%EC%BC%93%EB%AA%AC)" TargetMode="External"/><Relationship Id="rId13" Type="http://schemas.openxmlformats.org/officeDocument/2006/relationships/hyperlink" Target="https://pokemon.fandom.com/ko/wiki/%EB%B2%84%ED%84%B0%ED%94%8C_(%ED%8F%AC%EC%BC%93%EB%AA%AC)" TargetMode="External"/><Relationship Id="rId18" Type="http://schemas.openxmlformats.org/officeDocument/2006/relationships/hyperlink" Target="https://pokemon.fandom.com/ko/wiki/%ED%94%BC%EC%A3%A4_(%ED%8F%AC%EC%BC%93%EB%AA%AC)" TargetMode="External"/><Relationship Id="rId39" Type="http://schemas.openxmlformats.org/officeDocument/2006/relationships/hyperlink" Target="https://pokemon.fandom.com/ko/wiki/%EB%82%98%EC%9D%B8%ED%85%8C%EC%9D%BC_(%ED%8F%AC%EC%BC%93%EB%AA%AC)" TargetMode="External"/><Relationship Id="rId109" Type="http://schemas.openxmlformats.org/officeDocument/2006/relationships/hyperlink" Target="https://pokemon.fandom.com/ko/wiki/%EB%82%B4%EB%A3%A8%EB%AF%B8_(%ED%8F%AC%EC%BC%93%EB%AA%AC)" TargetMode="External"/><Relationship Id="rId34" Type="http://schemas.openxmlformats.org/officeDocument/2006/relationships/hyperlink" Target="https://pokemon.fandom.com/ko/wiki/%EB%8B%88%EB%93%9C%EB%A6%AC%EB%85%B8_(%ED%8F%AC%EC%BC%93%EB%AA%AC)" TargetMode="External"/><Relationship Id="rId50" Type="http://schemas.openxmlformats.org/officeDocument/2006/relationships/hyperlink" Target="https://pokemon.fandom.com/ko/wiki/%EB%8F%84%EB%82%98%EB%A6%AC_(%ED%8F%AC%EC%BC%93%EB%AA%AC)" TargetMode="External"/><Relationship Id="rId55" Type="http://schemas.openxmlformats.org/officeDocument/2006/relationships/hyperlink" Target="https://pokemon.fandom.com/ko/wiki/%EA%B3%A0%EB%9D%BC%ED%8C%8C%EB%8D%95_(%ED%8F%AC%EC%BC%93%EB%AA%AC)" TargetMode="External"/><Relationship Id="rId76" Type="http://schemas.openxmlformats.org/officeDocument/2006/relationships/hyperlink" Target="https://pokemon.fandom.com/ko/wiki/%EB%8D%B0%EA%B5%AC%EB%A6%AC_(%ED%8F%AC%EC%BC%93%EB%AA%AC)" TargetMode="External"/><Relationship Id="rId97" Type="http://schemas.openxmlformats.org/officeDocument/2006/relationships/hyperlink" Target="https://pokemon.fandom.com/ko/wiki/%EC%8A%AC%EB%A6%AC%ED%94%84_(%ED%8F%AC%EC%BC%93%EB%AA%AC)" TargetMode="External"/><Relationship Id="rId104" Type="http://schemas.openxmlformats.org/officeDocument/2006/relationships/hyperlink" Target="https://pokemon.fandom.com/ko/wiki/%EB%82%98%EC%8B%9C_(%ED%8F%AC%EC%BC%93%EB%AA%AC)" TargetMode="External"/><Relationship Id="rId120" Type="http://schemas.openxmlformats.org/officeDocument/2006/relationships/hyperlink" Target="https://pokemon.fandom.com/ko/wiki/%EC%99%95%EC%BD%98%EC%B9%98_(%ED%8F%AC%EC%BC%93%EB%AA%AC)" TargetMode="External"/><Relationship Id="rId125" Type="http://schemas.openxmlformats.org/officeDocument/2006/relationships/hyperlink" Target="https://pokemon.fandom.com/ko/wiki/%EB%A3%A8%EC%A3%BC%EB%9D%BC_(%ED%8F%AC%EC%BC%93%EB%AA%AC)" TargetMode="External"/><Relationship Id="rId141" Type="http://schemas.openxmlformats.org/officeDocument/2006/relationships/hyperlink" Target="https://pokemon.fandom.com/ko/wiki/%ED%88%AC%EA%B5%AC_(%ED%8F%AC%EC%BC%93%EB%AA%AC)" TargetMode="External"/><Relationship Id="rId146" Type="http://schemas.openxmlformats.org/officeDocument/2006/relationships/hyperlink" Target="https://pokemon.fandom.com/ko/wiki/%EC%8D%AC%EB%8D%94_(%ED%8F%AC%EC%BC%93%EB%AA%AC)" TargetMode="External"/><Relationship Id="rId7" Type="http://schemas.openxmlformats.org/officeDocument/2006/relationships/hyperlink" Target="https://pokemon.fandom.com/ko/wiki/%EB%A6%AC%EC%9E%90%EB%AA%BD_(%ED%8F%AC%EC%BC%93%EB%AA%AC)" TargetMode="External"/><Relationship Id="rId71" Type="http://schemas.openxmlformats.org/officeDocument/2006/relationships/hyperlink" Target="https://pokemon.fandom.com/ko/wiki/%EC%9A%B0%EC%B8%A0%EB%8F%99_(%ED%8F%AC%EC%BC%93%EB%AA%AC)" TargetMode="External"/><Relationship Id="rId92" Type="http://schemas.openxmlformats.org/officeDocument/2006/relationships/hyperlink" Target="https://pokemon.fandom.com/ko/wiki/%ED%8C%8C%EB%A5%B4%EC%85%80_(%ED%8F%AC%EC%BC%93%EB%AA%AC)" TargetMode="External"/><Relationship Id="rId2" Type="http://schemas.openxmlformats.org/officeDocument/2006/relationships/hyperlink" Target="https://pokemon.fandom.com/ko/wiki/%EC%9D%B4%EC%83%81%ED%95%B4%EC%94%A8_(%ED%8F%AC%EC%BC%93%EB%AA%AC)" TargetMode="External"/><Relationship Id="rId29" Type="http://schemas.openxmlformats.org/officeDocument/2006/relationships/hyperlink" Target="https://pokemon.fandom.com/ko/wiki/%EA%B3%A0%EC%A7%80_(%ED%8F%AC%EC%BC%93%EB%AA%AC)" TargetMode="External"/><Relationship Id="rId24" Type="http://schemas.openxmlformats.org/officeDocument/2006/relationships/hyperlink" Target="https://pokemon.fandom.com/ko/wiki/%EC%95%84%EB%B3%B4_(%ED%8F%AC%EC%BC%93%EB%AA%AC)" TargetMode="External"/><Relationship Id="rId40" Type="http://schemas.openxmlformats.org/officeDocument/2006/relationships/hyperlink" Target="https://pokemon.fandom.com/ko/wiki/%ED%91%B8%EB%A6%B0_(%ED%8F%AC%EC%BC%93%EB%AA%AC)" TargetMode="External"/><Relationship Id="rId45" Type="http://schemas.openxmlformats.org/officeDocument/2006/relationships/hyperlink" Target="https://pokemon.fandom.com/ko/wiki/%EB%83%84%EC%83%88%EA%BC%AC_(%ED%8F%AC%EC%BC%93%EB%AA%AC)" TargetMode="External"/><Relationship Id="rId66" Type="http://schemas.openxmlformats.org/officeDocument/2006/relationships/hyperlink" Target="https://pokemon.fandom.com/ko/wiki/%ED%9B%84%EB%94%98_(%ED%8F%AC%EC%BC%93%EB%AA%AC)" TargetMode="External"/><Relationship Id="rId87" Type="http://schemas.openxmlformats.org/officeDocument/2006/relationships/hyperlink" Target="https://pokemon.fandom.com/ko/wiki/%EC%A5%AC%EC%A5%AC_(%ED%8F%AC%EC%BC%93%EB%AA%AC)" TargetMode="External"/><Relationship Id="rId110" Type="http://schemas.openxmlformats.org/officeDocument/2006/relationships/hyperlink" Target="https://pokemon.fandom.com/ko/wiki/%EB%98%90%EA%B0%80%EC%8A%A4_(%ED%8F%AC%EC%BC%93%EB%AA%AC)" TargetMode="External"/><Relationship Id="rId115" Type="http://schemas.openxmlformats.org/officeDocument/2006/relationships/hyperlink" Target="https://pokemon.fandom.com/ko/wiki/%EB%8D%A9%EC%BF%A0%EB%A6%AC_(%ED%8F%AC%EC%BC%93%EB%AA%AC)" TargetMode="External"/><Relationship Id="rId131" Type="http://schemas.openxmlformats.org/officeDocument/2006/relationships/hyperlink" Target="https://pokemon.fandom.com/ko/wiki/%EA%B0%B8%EB%9D%BC%EB%8F%84%EC%8A%A4_(%ED%8F%AC%EC%BC%93%EB%AA%AC)" TargetMode="External"/><Relationship Id="rId136" Type="http://schemas.openxmlformats.org/officeDocument/2006/relationships/hyperlink" Target="https://pokemon.fandom.com/ko/wiki/%EC%A5%AC%ED%94%BC%EC%8D%AC%EB%8D%94_(%ED%8F%AC%EC%BC%93%EB%AA%AC)" TargetMode="External"/><Relationship Id="rId61" Type="http://schemas.openxmlformats.org/officeDocument/2006/relationships/hyperlink" Target="https://pokemon.fandom.com/ko/wiki/%EB%B0%9C%EC%B1%99%EC%9D%B4_(%ED%8F%AC%EC%BC%93%EB%AA%AC)" TargetMode="External"/><Relationship Id="rId82" Type="http://schemas.openxmlformats.org/officeDocument/2006/relationships/hyperlink" Target="https://pokemon.fandom.com/ko/wiki/%EC%BD%94%EC%9D%BC_(%ED%8F%AC%EC%BC%93%EB%AA%AC)" TargetMode="External"/><Relationship Id="rId152" Type="http://schemas.openxmlformats.org/officeDocument/2006/relationships/hyperlink" Target="https://pokemon.fandom.com/ko/wiki/%EB%AE%A4_(%ED%8F%AC%EC%BC%93%EB%AA%AC)" TargetMode="External"/><Relationship Id="rId19" Type="http://schemas.openxmlformats.org/officeDocument/2006/relationships/hyperlink" Target="https://pokemon.fandom.com/ko/wiki/%ED%94%BC%EC%A3%A4%ED%88%AC_(%ED%8F%AC%EC%BC%93%EB%AA%AC)" TargetMode="External"/><Relationship Id="rId14" Type="http://schemas.openxmlformats.org/officeDocument/2006/relationships/hyperlink" Target="https://pokemon.fandom.com/ko/wiki/%EB%BF%94%EC%B6%A9%EC%9D%B4_(%ED%8F%AC%EC%BC%93%EB%AA%AC)" TargetMode="External"/><Relationship Id="rId30" Type="http://schemas.openxmlformats.org/officeDocument/2006/relationships/hyperlink" Target="https://pokemon.fandom.com/ko/wiki/%EB%8B%88%EB%93%9C%EB%9F%B0%E2%99%80_(%ED%8F%AC%EC%BC%93%EB%AA%AC)" TargetMode="External"/><Relationship Id="rId35" Type="http://schemas.openxmlformats.org/officeDocument/2006/relationships/hyperlink" Target="https://pokemon.fandom.com/ko/wiki/%EB%8B%88%EB%93%9C%ED%82%B9_(%ED%8F%AC%EC%BC%93%EB%AA%AC)" TargetMode="External"/><Relationship Id="rId56" Type="http://schemas.openxmlformats.org/officeDocument/2006/relationships/hyperlink" Target="https://pokemon.fandom.com/ko/wiki/%EA%B3%A8%EB%8D%95_(%ED%8F%AC%EC%BC%93%EB%AA%AC)" TargetMode="External"/><Relationship Id="rId77" Type="http://schemas.openxmlformats.org/officeDocument/2006/relationships/hyperlink" Target="https://pokemon.fandom.com/ko/wiki/%EB%94%B1%EA%B5%AC%EB%A6%AC_(%ED%8F%AC%EC%BC%93%EB%AA%AC)" TargetMode="External"/><Relationship Id="rId100" Type="http://schemas.openxmlformats.org/officeDocument/2006/relationships/hyperlink" Target="https://pokemon.fandom.com/ko/wiki/%ED%82%B9%ED%81%AC%EB%9E%A9_(%ED%8F%AC%EC%BC%93%EB%AA%AC)" TargetMode="External"/><Relationship Id="rId105" Type="http://schemas.openxmlformats.org/officeDocument/2006/relationships/hyperlink" Target="https://pokemon.fandom.com/ko/wiki/%ED%83%95%EA%B5%AC%EB%A6%AC_(%ED%8F%AC%EC%BC%93%EB%AA%AC)" TargetMode="External"/><Relationship Id="rId126" Type="http://schemas.openxmlformats.org/officeDocument/2006/relationships/hyperlink" Target="https://pokemon.fandom.com/ko/wiki/%EC%97%90%EB%A0%88%EB%B8%8C_(%ED%8F%AC%EC%BC%93%EB%AA%AC)" TargetMode="External"/><Relationship Id="rId147" Type="http://schemas.openxmlformats.org/officeDocument/2006/relationships/hyperlink" Target="https://pokemon.fandom.com/ko/wiki/%ED%8C%8C%EC%9D%B4%EC%96%B4_(%ED%8F%AC%EC%BC%93%EB%AA%AC)" TargetMode="External"/><Relationship Id="rId8" Type="http://schemas.openxmlformats.org/officeDocument/2006/relationships/hyperlink" Target="https://pokemon.fandom.com/ko/wiki/%EA%BC%AC%EB%B6%80%EA%B8%B0_(%ED%8F%AC%EC%BC%93%EB%AA%AC)" TargetMode="External"/><Relationship Id="rId51" Type="http://schemas.openxmlformats.org/officeDocument/2006/relationships/hyperlink" Target="https://pokemon.fandom.com/ko/wiki/%EB%94%94%EA%B7%B8%EB%8B%A4_(%ED%8F%AC%EC%BC%93%EB%AA%AC)" TargetMode="External"/><Relationship Id="rId72" Type="http://schemas.openxmlformats.org/officeDocument/2006/relationships/hyperlink" Target="https://pokemon.fandom.com/ko/wiki/%EC%9A%B0%EC%B8%A0%EB%B3%B4%ED%8A%B8_(%ED%8F%AC%EC%BC%93%EB%AA%AC)" TargetMode="External"/><Relationship Id="rId93" Type="http://schemas.openxmlformats.org/officeDocument/2006/relationships/hyperlink" Target="https://pokemon.fandom.com/ko/wiki/%EA%B3%A0%EC%98%A4%EC%8A%A4_(%ED%8F%AC%EC%BC%93%EB%AA%AC)" TargetMode="External"/><Relationship Id="rId98" Type="http://schemas.openxmlformats.org/officeDocument/2006/relationships/hyperlink" Target="https://pokemon.fandom.com/ko/wiki/%EC%8A%AC%EB%A6%AC%ED%8D%BC_(%ED%8F%AC%EC%BC%93%EB%AA%AC)" TargetMode="External"/><Relationship Id="rId121" Type="http://schemas.openxmlformats.org/officeDocument/2006/relationships/hyperlink" Target="https://pokemon.fandom.com/ko/wiki/%EB%B3%84%EA%B0%80%EC%82%AC%EB%A6%AC_(%ED%8F%AC%EC%BC%93%EB%AA%AC)" TargetMode="External"/><Relationship Id="rId142" Type="http://schemas.openxmlformats.org/officeDocument/2006/relationships/hyperlink" Target="https://pokemon.fandom.com/ko/wiki/%ED%88%AC%EA%B5%AC%ED%91%B8%EC%8A%A4_(%ED%8F%AC%EC%BC%93%EB%AA%AC)" TargetMode="External"/><Relationship Id="rId3" Type="http://schemas.openxmlformats.org/officeDocument/2006/relationships/hyperlink" Target="https://pokemon.fandom.com/ko/wiki/%EC%9D%B4%EC%83%81%ED%95%B4%ED%92%80_(%ED%8F%AC%EC%BC%93%EB%AA%AC)" TargetMode="External"/><Relationship Id="rId25" Type="http://schemas.openxmlformats.org/officeDocument/2006/relationships/hyperlink" Target="https://pokemon.fandom.com/ko/wiki/%EC%95%84%EB%B3%B4%ED%81%AC_(%ED%8F%AC%EC%BC%93%EB%AA%AC)" TargetMode="External"/><Relationship Id="rId46" Type="http://schemas.openxmlformats.org/officeDocument/2006/relationships/hyperlink" Target="https://pokemon.fandom.com/ko/wiki/%EB%9D%BC%ED%94%8C%EB%A0%88%EC%8B%9C%EC%95%84_(%ED%8F%AC%EC%BC%93%EB%AA%AC)" TargetMode="External"/><Relationship Id="rId67" Type="http://schemas.openxmlformats.org/officeDocument/2006/relationships/hyperlink" Target="https://pokemon.fandom.com/ko/wiki/%EC%95%8C%ED%86%B5%EB%AA%AC_(%ED%8F%AC%EC%BC%93%EB%AA%AC)" TargetMode="External"/><Relationship Id="rId116" Type="http://schemas.openxmlformats.org/officeDocument/2006/relationships/hyperlink" Target="https://pokemon.fandom.com/ko/wiki/%EC%BA%A5%EC%B9%B4_(%ED%8F%AC%EC%BC%93%EB%AA%AC)" TargetMode="External"/><Relationship Id="rId137" Type="http://schemas.openxmlformats.org/officeDocument/2006/relationships/hyperlink" Target="https://pokemon.fandom.com/ko/wiki/%EB%B6%80%EC%8A%A4%ED%84%B0_(%ED%8F%AC%EC%BC%93%EB%AA%AC)" TargetMode="External"/><Relationship Id="rId20" Type="http://schemas.openxmlformats.org/officeDocument/2006/relationships/hyperlink" Target="https://pokemon.fandom.com/ko/wiki/%EA%BC%AC%EB%A0%9B_(%ED%8F%AC%EC%BC%93%EB%AA%AC)" TargetMode="External"/><Relationship Id="rId41" Type="http://schemas.openxmlformats.org/officeDocument/2006/relationships/hyperlink" Target="https://pokemon.fandom.com/ko/wiki/%ED%91%B8%ED%81%AC%EB%A6%B0_(%ED%8F%AC%EC%BC%93%EB%AA%AC)" TargetMode="External"/><Relationship Id="rId62" Type="http://schemas.openxmlformats.org/officeDocument/2006/relationships/hyperlink" Target="https://pokemon.fandom.com/ko/wiki/%EC%8A%88%EB%A5%99%EC%B1%99%EC%9D%B4_(%ED%8F%AC%EC%BC%93%EB%AA%AC)" TargetMode="External"/><Relationship Id="rId83" Type="http://schemas.openxmlformats.org/officeDocument/2006/relationships/hyperlink" Target="https://pokemon.fandom.com/ko/wiki/%EB%A0%88%EC%96%B4%EC%BD%94%EC%9D%BC_(%ED%8F%AC%EC%BC%93%EB%AA%AC)" TargetMode="External"/><Relationship Id="rId88" Type="http://schemas.openxmlformats.org/officeDocument/2006/relationships/hyperlink" Target="https://pokemon.fandom.com/ko/wiki/%EC%A5%AC%EB%A0%88%EA%B3%A4_(%ED%8F%AC%EC%BC%93%EB%AA%AC)" TargetMode="External"/><Relationship Id="rId111" Type="http://schemas.openxmlformats.org/officeDocument/2006/relationships/hyperlink" Target="https://pokemon.fandom.com/ko/wiki/%EB%98%90%EB%8F%84%EA%B0%80%EC%8A%A4_(%ED%8F%AC%EC%BC%93%EB%AA%AC)" TargetMode="External"/><Relationship Id="rId132" Type="http://schemas.openxmlformats.org/officeDocument/2006/relationships/hyperlink" Target="https://pokemon.fandom.com/ko/wiki/%EB%9D%BC%ED%94%84%EB%9D%BC%EC%8A%A4_(%ED%8F%AC%EC%BC%93%EB%AA%AC)" TargetMode="External"/><Relationship Id="rId153" Type="http://schemas.openxmlformats.org/officeDocument/2006/relationships/drawing" Target="../drawings/drawing1.xml"/><Relationship Id="rId15" Type="http://schemas.openxmlformats.org/officeDocument/2006/relationships/hyperlink" Target="https://pokemon.fandom.com/ko/wiki/%EB%94%B1%EC%B6%A9%EC%9D%B4_(%ED%8F%AC%EC%BC%93%EB%AA%AC)" TargetMode="External"/><Relationship Id="rId36" Type="http://schemas.openxmlformats.org/officeDocument/2006/relationships/hyperlink" Target="https://pokemon.fandom.com/ko/wiki/%EC%82%90%EC%82%90_(%ED%8F%AC%EC%BC%93%EB%AA%AC)" TargetMode="External"/><Relationship Id="rId57" Type="http://schemas.openxmlformats.org/officeDocument/2006/relationships/hyperlink" Target="https://pokemon.fandom.com/ko/wiki/%EB%A7%9D%ED%82%A4_(%ED%8F%AC%EC%BC%93%EB%AA%AC)" TargetMode="External"/><Relationship Id="rId106" Type="http://schemas.openxmlformats.org/officeDocument/2006/relationships/hyperlink" Target="https://pokemon.fandom.com/ko/wiki/%ED%85%85%EA%B5%AC%EB%A6%AC_(%ED%8F%AC%EC%BC%93%EB%AA%AC)" TargetMode="External"/><Relationship Id="rId127" Type="http://schemas.openxmlformats.org/officeDocument/2006/relationships/hyperlink" Target="https://pokemon.fandom.com/ko/wiki/%EB%A7%88%EA%B7%B8%EB%A7%88_(%ED%8F%AC%EC%BC%93%EB%AA%AC)" TargetMode="External"/><Relationship Id="rId10" Type="http://schemas.openxmlformats.org/officeDocument/2006/relationships/hyperlink" Target="https://pokemon.fandom.com/ko/wiki/%EA%B1%B0%EB%B6%81%EC%99%95_(%ED%8F%AC%EC%BC%93%EB%AA%AC)" TargetMode="External"/><Relationship Id="rId31" Type="http://schemas.openxmlformats.org/officeDocument/2006/relationships/hyperlink" Target="https://pokemon.fandom.com/ko/wiki/%EB%8B%88%EB%93%9C%EB%A6%AC%EB%82%98_(%ED%8F%AC%EC%BC%93%EB%AA%AC)" TargetMode="External"/><Relationship Id="rId52" Type="http://schemas.openxmlformats.org/officeDocument/2006/relationships/hyperlink" Target="https://pokemon.fandom.com/ko/wiki/%EB%8B%A5%ED%8A%B8%EB%A6%AC%EC%98%A4_(%ED%8F%AC%EC%BC%93%EB%AA%AC)" TargetMode="External"/><Relationship Id="rId73" Type="http://schemas.openxmlformats.org/officeDocument/2006/relationships/hyperlink" Target="https://pokemon.fandom.com/ko/wiki/%EC%99%95%EB%88%88%ED%95%B4_(%ED%8F%AC%EC%BC%93%EB%AA%AC)" TargetMode="External"/><Relationship Id="rId78" Type="http://schemas.openxmlformats.org/officeDocument/2006/relationships/hyperlink" Target="https://pokemon.fandom.com/ko/wiki/%ED%8F%AC%EB%8B%88%ED%83%80_(%ED%8F%AC%EC%BC%93%EB%AA%AC)" TargetMode="External"/><Relationship Id="rId94" Type="http://schemas.openxmlformats.org/officeDocument/2006/relationships/hyperlink" Target="https://pokemon.fandom.com/ko/wiki/%EA%B3%A0%EC%9A%B0%EC%8A%A4%ED%8A%B8_(%ED%8F%AC%EC%BC%93%EB%AA%AC)" TargetMode="External"/><Relationship Id="rId99" Type="http://schemas.openxmlformats.org/officeDocument/2006/relationships/hyperlink" Target="https://pokemon.fandom.com/ko/wiki/%ED%81%AC%EB%9E%A9_(%ED%8F%AC%EC%BC%93%EB%AA%AC)" TargetMode="External"/><Relationship Id="rId101" Type="http://schemas.openxmlformats.org/officeDocument/2006/relationships/hyperlink" Target="https://pokemon.fandom.com/ko/wiki/%EC%B0%8C%EB%A6%AC%EB%A6%AC%EA%B3%B5_(%ED%8F%AC%EC%BC%93%EB%AA%AC)" TargetMode="External"/><Relationship Id="rId122" Type="http://schemas.openxmlformats.org/officeDocument/2006/relationships/hyperlink" Target="https://pokemon.fandom.com/ko/wiki/%EC%95%84%EC%BF%A0%EC%8A%A4%ED%83%80_(%ED%8F%AC%EC%BC%93%EB%AA%AC)" TargetMode="External"/><Relationship Id="rId143" Type="http://schemas.openxmlformats.org/officeDocument/2006/relationships/hyperlink" Target="https://pokemon.fandom.com/ko/wiki/%ED%94%84%ED%85%8C%EB%9D%BC_(%ED%8F%AC%EC%BC%93%EB%AA%AC)" TargetMode="External"/><Relationship Id="rId148" Type="http://schemas.openxmlformats.org/officeDocument/2006/relationships/hyperlink" Target="https://pokemon.fandom.com/ko/wiki/%EB%AF%B8%EB%87%BD_(%ED%8F%AC%EC%BC%93%EB%AA%AC)" TargetMode="External"/><Relationship Id="rId4" Type="http://schemas.openxmlformats.org/officeDocument/2006/relationships/hyperlink" Target="https://pokemon.fandom.com/ko/wiki/%EC%9D%B4%EC%83%81%ED%95%B4%EA%BD%83_(%ED%8F%AC%EC%BC%93%EB%AA%AC)" TargetMode="External"/><Relationship Id="rId9" Type="http://schemas.openxmlformats.org/officeDocument/2006/relationships/hyperlink" Target="https://pokemon.fandom.com/ko/wiki/%EC%96%B4%EB%8B%88%EB%B6%80%EA%B8%B0_(%ED%8F%AC%EC%BC%93%EB%AA%AC)" TargetMode="External"/><Relationship Id="rId26" Type="http://schemas.openxmlformats.org/officeDocument/2006/relationships/hyperlink" Target="https://pokemon.fandom.com/ko/wiki/%ED%94%BC%EC%B9%B4%EC%B8%84_(%ED%8F%AC%EC%BC%93%EB%AA%AC)" TargetMode="External"/><Relationship Id="rId47" Type="http://schemas.openxmlformats.org/officeDocument/2006/relationships/hyperlink" Target="https://pokemon.fandom.com/ko/wiki/%ED%8C%8C%EB%9D%BC%EC%8A%A4_(%ED%8F%AC%EC%BC%93%EB%AA%AC)" TargetMode="External"/><Relationship Id="rId68" Type="http://schemas.openxmlformats.org/officeDocument/2006/relationships/hyperlink" Target="https://pokemon.fandom.com/ko/wiki/%EA%B7%BC%EC%9C%A1%EB%AA%AC_(%ED%8F%AC%EC%BC%93%EB%AA%AC)" TargetMode="External"/><Relationship Id="rId89" Type="http://schemas.openxmlformats.org/officeDocument/2006/relationships/hyperlink" Target="https://pokemon.fandom.com/ko/wiki/%EC%A7%88%ED%8D%BD%EC%9D%B4_(%ED%8F%AC%EC%BC%93%EB%AA%AC)" TargetMode="External"/><Relationship Id="rId112" Type="http://schemas.openxmlformats.org/officeDocument/2006/relationships/hyperlink" Target="https://pokemon.fandom.com/ko/wiki/%EB%BF%94%EC%B9%B4%EB%85%B8_(%ED%8F%AC%EC%BC%93%EB%AA%AC)" TargetMode="External"/><Relationship Id="rId133" Type="http://schemas.openxmlformats.org/officeDocument/2006/relationships/hyperlink" Target="https://pokemon.fandom.com/ko/wiki/%EB%A9%94%ED%83%80%EB%AA%BD_(%ED%8F%AC%EC%BC%93%EB%AA%AC)" TargetMode="External"/><Relationship Id="rId16" Type="http://schemas.openxmlformats.org/officeDocument/2006/relationships/hyperlink" Target="https://pokemon.fandom.com/ko/wiki/%EB%8F%85%EC%B9%A8%EB%B6%95_(%ED%8F%AC%EC%BC%93%EB%AA%AC)" TargetMode="External"/><Relationship Id="rId37" Type="http://schemas.openxmlformats.org/officeDocument/2006/relationships/hyperlink" Target="https://pokemon.fandom.com/ko/wiki/%ED%94%BD%EC%8B%9C_(%ED%8F%AC%EC%BC%93%EB%AA%AC)" TargetMode="External"/><Relationship Id="rId58" Type="http://schemas.openxmlformats.org/officeDocument/2006/relationships/hyperlink" Target="https://pokemon.fandom.com/ko/wiki/%EC%84%B1%EC%9B%90%EC%88%AD_(%ED%8F%AC%EC%BC%93%EB%AA%AC)" TargetMode="External"/><Relationship Id="rId79" Type="http://schemas.openxmlformats.org/officeDocument/2006/relationships/hyperlink" Target="https://pokemon.fandom.com/ko/wiki/%EB%82%A0%EC%8C%A9%EB%A7%88_(%ED%8F%AC%EC%BC%93%EB%AA%AC)" TargetMode="External"/><Relationship Id="rId102" Type="http://schemas.openxmlformats.org/officeDocument/2006/relationships/hyperlink" Target="https://pokemon.fandom.com/ko/wiki/%EB%B6%90%EB%B3%BC_(%ED%8F%AC%EC%BC%93%EB%AA%AC)" TargetMode="External"/><Relationship Id="rId123" Type="http://schemas.openxmlformats.org/officeDocument/2006/relationships/hyperlink" Target="https://pokemon.fandom.com/ko/wiki/%EB%A7%88%EC%9E%84%EB%A7%A8_(%ED%8F%AC%EC%BC%93%EB%AA%AC)" TargetMode="External"/><Relationship Id="rId144" Type="http://schemas.openxmlformats.org/officeDocument/2006/relationships/hyperlink" Target="https://pokemon.fandom.com/ko/wiki/%EC%9E%A0%EB%A7%8C%EB%B3%B4_(%ED%8F%AC%EC%BC%93%EB%AA%AC)" TargetMode="External"/><Relationship Id="rId90" Type="http://schemas.openxmlformats.org/officeDocument/2006/relationships/hyperlink" Target="https://pokemon.fandom.com/ko/wiki/%EC%A7%88%EB%BB%90%EA%B8%B0_(%ED%8F%AC%EC%BC%93%EB%AA%AC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B727-16C2-41E7-A7DA-ACF0B951C88C}">
  <dimension ref="A2:S165"/>
  <sheetViews>
    <sheetView tabSelected="1" topLeftCell="A170" workbookViewId="0">
      <selection activeCell="B174" sqref="B174"/>
    </sheetView>
  </sheetViews>
  <sheetFormatPr defaultRowHeight="16.5" x14ac:dyDescent="0.3"/>
  <cols>
    <col min="13" max="16" width="9" hidden="1" customWidth="1"/>
  </cols>
  <sheetData>
    <row r="2" spans="1:19" x14ac:dyDescent="0.3">
      <c r="A2" s="1"/>
    </row>
    <row r="3" spans="1:19" ht="33.75" x14ac:dyDescent="0.3">
      <c r="A3" s="3"/>
    </row>
    <row r="4" spans="1:19" x14ac:dyDescent="0.3">
      <c r="A4" s="1"/>
    </row>
    <row r="5" spans="1:19" ht="17.25" thickBot="1" x14ac:dyDescent="0.35">
      <c r="A5" s="1"/>
    </row>
    <row r="6" spans="1:19" ht="18" thickTop="1" thickBot="1" x14ac:dyDescent="0.35">
      <c r="A6" s="4"/>
    </row>
    <row r="7" spans="1:19" ht="17.25" thickTop="1" x14ac:dyDescent="0.3">
      <c r="A7" s="5"/>
    </row>
    <row r="8" spans="1:19" x14ac:dyDescent="0.3">
      <c r="A8" s="5"/>
      <c r="L8" t="s">
        <v>171</v>
      </c>
    </row>
    <row r="9" spans="1:19" x14ac:dyDescent="0.3">
      <c r="A9" s="1"/>
      <c r="M9">
        <v>70</v>
      </c>
      <c r="N9">
        <v>100</v>
      </c>
    </row>
    <row r="10" spans="1:19" x14ac:dyDescent="0.3">
      <c r="A10" s="6"/>
    </row>
    <row r="11" spans="1:19" x14ac:dyDescent="0.3">
      <c r="A11" s="7"/>
      <c r="K11" t="s">
        <v>165</v>
      </c>
      <c r="L11">
        <v>1</v>
      </c>
      <c r="O11">
        <v>20</v>
      </c>
      <c r="Q11">
        <v>1</v>
      </c>
      <c r="R11">
        <v>1</v>
      </c>
      <c r="S11">
        <v>20</v>
      </c>
    </row>
    <row r="12" spans="1:19" ht="17.25" thickBot="1" x14ac:dyDescent="0.35">
      <c r="A12" s="2"/>
      <c r="K12" t="s">
        <v>166</v>
      </c>
      <c r="L12" t="s">
        <v>169</v>
      </c>
      <c r="O12" t="s">
        <v>168</v>
      </c>
      <c r="Q12" t="s">
        <v>169</v>
      </c>
      <c r="R12" t="s">
        <v>170</v>
      </c>
      <c r="S12" t="s">
        <v>167</v>
      </c>
    </row>
    <row r="13" spans="1:19" ht="17.25" thickTop="1" x14ac:dyDescent="0.3">
      <c r="A13" s="16" t="s">
        <v>0</v>
      </c>
      <c r="B13" s="17"/>
      <c r="C13" s="17" t="s">
        <v>1</v>
      </c>
      <c r="D13" s="18" t="s">
        <v>2</v>
      </c>
      <c r="E13" s="19" t="s">
        <v>3</v>
      </c>
      <c r="F13" s="20" t="s">
        <v>4</v>
      </c>
      <c r="G13" s="21" t="s">
        <v>5</v>
      </c>
      <c r="H13" s="22" t="s">
        <v>6</v>
      </c>
      <c r="I13" s="23" t="s">
        <v>7</v>
      </c>
      <c r="J13" s="24" t="s">
        <v>8</v>
      </c>
      <c r="L13" t="s">
        <v>160</v>
      </c>
      <c r="O13" t="s">
        <v>164</v>
      </c>
      <c r="Q13" t="s">
        <v>161</v>
      </c>
      <c r="R13" t="s">
        <v>162</v>
      </c>
      <c r="S13" t="s">
        <v>163</v>
      </c>
    </row>
    <row r="14" spans="1:19" x14ac:dyDescent="0.3">
      <c r="A14" s="25">
        <v>1</v>
      </c>
      <c r="B14" s="9"/>
      <c r="C14" s="10" t="s">
        <v>9</v>
      </c>
      <c r="D14" s="11">
        <v>45</v>
      </c>
      <c r="E14" s="12">
        <v>49</v>
      </c>
      <c r="F14" s="13">
        <v>49</v>
      </c>
      <c r="G14" s="14">
        <v>45</v>
      </c>
      <c r="H14" s="15">
        <v>65</v>
      </c>
      <c r="I14" s="8">
        <v>253</v>
      </c>
      <c r="J14" s="26">
        <v>50.6</v>
      </c>
      <c r="L14" cm="1">
        <f t="array" ref="L14">_xlfn.IFS(D14&lt;50, 1,
     D14&lt;70, 1.5,
     D14&lt;100, 2,
     D14&lt;120, 2.5,
     TRUE, 3)</f>
        <v>1</v>
      </c>
      <c r="M14" cm="1">
        <f t="array" ref="M14">_xlfn.IFS(E14&lt;50, 1,
     E14&lt;70, 1.5,
     E14&lt;100, 2,
     E14&lt;120, 2.5,
     TRUE, 3)</f>
        <v>1</v>
      </c>
      <c r="N14" cm="1">
        <f t="array" ref="N14">_xlfn.IFS(F14&lt;50, 1,
     F14&lt;70, 1.5,
     F14&lt;100, 2,
     F14&lt;120, 2.5,
     TRUE, 3)</f>
        <v>1</v>
      </c>
      <c r="O14" cm="1">
        <f t="array" ref="O14">_xlfn.IFS(G14&lt;50, 10,
     G14&lt;70, 15,
     G14&lt;100, 20,
     G14&lt;120, 25,
     TRUE, 30)</f>
        <v>10</v>
      </c>
      <c r="P14" cm="1">
        <f t="array" ref="P14">_xlfn.IFS(H14&lt;50, 1,
     H14&lt;70, 1.5,
     H14&lt;100, 2,
     H14&lt;120, 2.5,
     TRUE, 3)</f>
        <v>1.5</v>
      </c>
      <c r="Q14">
        <f>MAX(M14,P14)</f>
        <v>1.5</v>
      </c>
      <c r="R14">
        <f>MAX(N14,P14)</f>
        <v>1.5</v>
      </c>
      <c r="S14">
        <v>10</v>
      </c>
    </row>
    <row r="15" spans="1:19" x14ac:dyDescent="0.3">
      <c r="A15" s="25">
        <v>2</v>
      </c>
      <c r="B15" s="9"/>
      <c r="C15" s="10" t="s">
        <v>10</v>
      </c>
      <c r="D15" s="11">
        <v>60</v>
      </c>
      <c r="E15" s="12">
        <v>62</v>
      </c>
      <c r="F15" s="13">
        <v>63</v>
      </c>
      <c r="G15" s="14">
        <v>60</v>
      </c>
      <c r="H15" s="15">
        <v>80</v>
      </c>
      <c r="I15" s="8">
        <v>325</v>
      </c>
      <c r="J15" s="26">
        <v>65</v>
      </c>
      <c r="L15" cm="1">
        <f t="array" ref="L15">_xlfn.IFS(D15&lt;50, 1,
     D15&lt;70, 1.5,
     D15&lt;100, 2,
     D15&lt;120, 2.5,
     TRUE, 3)</f>
        <v>1.5</v>
      </c>
      <c r="M15" cm="1">
        <f t="array" ref="M15">_xlfn.IFS(E15&lt;50, 1,
     E15&lt;70, 1.5,
     E15&lt;100, 2,
     E15&lt;120, 2.5,
     TRUE, 3)</f>
        <v>1.5</v>
      </c>
      <c r="N15" cm="1">
        <f t="array" ref="N15">_xlfn.IFS(F15&lt;50, 1,
     F15&lt;70, 1.5,
     F15&lt;100, 2,
     F15&lt;120, 2.5,
     TRUE, 3)</f>
        <v>1.5</v>
      </c>
      <c r="O15" cm="1">
        <f t="array" ref="O15">_xlfn.IFS(G15&lt;50, 10,
     G15&lt;70, 15,
     G15&lt;100, 20,
     G15&lt;120, 25,
     TRUE, 30)</f>
        <v>15</v>
      </c>
      <c r="P15" cm="1">
        <f t="array" ref="P15">_xlfn.IFS(H15&lt;50, 1,
     H15&lt;70, 1.5,
     H15&lt;100, 2,
     H15&lt;120, 2.5,
     TRUE, 3)</f>
        <v>2</v>
      </c>
      <c r="Q15">
        <f t="shared" ref="Q15:Q78" si="0">MAX(M15,P15)</f>
        <v>2</v>
      </c>
      <c r="R15">
        <f t="shared" ref="R15:R78" si="1">MAX(N15,P15)</f>
        <v>2</v>
      </c>
      <c r="S15">
        <v>15</v>
      </c>
    </row>
    <row r="16" spans="1:19" x14ac:dyDescent="0.3">
      <c r="A16" s="25">
        <v>3</v>
      </c>
      <c r="B16" s="9"/>
      <c r="C16" s="10" t="s">
        <v>11</v>
      </c>
      <c r="D16" s="11">
        <v>80</v>
      </c>
      <c r="E16" s="12">
        <v>82</v>
      </c>
      <c r="F16" s="13">
        <v>83</v>
      </c>
      <c r="G16" s="14">
        <v>80</v>
      </c>
      <c r="H16" s="15">
        <v>100</v>
      </c>
      <c r="I16" s="8">
        <v>425</v>
      </c>
      <c r="J16" s="26">
        <v>85</v>
      </c>
      <c r="L16" cm="1">
        <f t="array" ref="L16">_xlfn.IFS(D16&lt;50, 1,
     D16&lt;70, 1.5,
     D16&lt;100, 2,
     D16&lt;120, 2.5,
     TRUE, 3)</f>
        <v>2</v>
      </c>
      <c r="M16" cm="1">
        <f t="array" ref="M16">_xlfn.IFS(E16&lt;50, 1,
     E16&lt;70, 1.5,
     E16&lt;100, 2,
     E16&lt;120, 2.5,
     TRUE, 3)</f>
        <v>2</v>
      </c>
      <c r="N16" cm="1">
        <f t="array" ref="N16">_xlfn.IFS(F16&lt;50, 1,
     F16&lt;70, 1.5,
     F16&lt;100, 2,
     F16&lt;120, 2.5,
     TRUE, 3)</f>
        <v>2</v>
      </c>
      <c r="O16" cm="1">
        <f t="array" ref="O16">_xlfn.IFS(G16&lt;50, 10,
     G16&lt;70, 15,
     G16&lt;100, 20,
     G16&lt;120, 25,
     TRUE, 30)</f>
        <v>20</v>
      </c>
      <c r="P16" cm="1">
        <f t="array" ref="P16">_xlfn.IFS(H16&lt;50, 1,
     H16&lt;70, 1.5,
     H16&lt;100, 2,
     H16&lt;120, 2.5,
     TRUE, 3)</f>
        <v>2.5</v>
      </c>
      <c r="Q16">
        <f t="shared" si="0"/>
        <v>2.5</v>
      </c>
      <c r="R16">
        <f t="shared" si="1"/>
        <v>2.5</v>
      </c>
      <c r="S16">
        <v>20</v>
      </c>
    </row>
    <row r="17" spans="1:19" x14ac:dyDescent="0.3">
      <c r="A17" s="25">
        <v>4</v>
      </c>
      <c r="B17" s="9"/>
      <c r="C17" s="10" t="s">
        <v>12</v>
      </c>
      <c r="D17" s="11">
        <v>39</v>
      </c>
      <c r="E17" s="12">
        <v>52</v>
      </c>
      <c r="F17" s="13">
        <v>43</v>
      </c>
      <c r="G17" s="14">
        <v>65</v>
      </c>
      <c r="H17" s="15">
        <v>50</v>
      </c>
      <c r="I17" s="8">
        <v>249</v>
      </c>
      <c r="J17" s="26">
        <v>49.8</v>
      </c>
      <c r="L17" cm="1">
        <f t="array" ref="L17">_xlfn.IFS(D17&lt;50, 1,
     D17&lt;70, 1.5,
     D17&lt;100, 2,
     D17&lt;120, 2.5,
     TRUE, 3)</f>
        <v>1</v>
      </c>
      <c r="M17" cm="1">
        <f t="array" ref="M17">_xlfn.IFS(E17&lt;50, 1,
     E17&lt;70, 1.5,
     E17&lt;100, 2,
     E17&lt;120, 2.5,
     TRUE, 3)</f>
        <v>1.5</v>
      </c>
      <c r="N17" cm="1">
        <f t="array" ref="N17">_xlfn.IFS(F17&lt;50, 1,
     F17&lt;70, 1.5,
     F17&lt;100, 2,
     F17&lt;120, 2.5,
     TRUE, 3)</f>
        <v>1</v>
      </c>
      <c r="O17" cm="1">
        <f t="array" ref="O17">_xlfn.IFS(G17&lt;50, 10,
     G17&lt;70, 15,
     G17&lt;100, 20,
     G17&lt;120, 25,
     TRUE, 30)</f>
        <v>15</v>
      </c>
      <c r="P17" cm="1">
        <f t="array" ref="P17">_xlfn.IFS(H17&lt;50, 1,
     H17&lt;70, 1.5,
     H17&lt;100, 2,
     H17&lt;120, 2.5,
     TRUE, 3)</f>
        <v>1.5</v>
      </c>
      <c r="Q17">
        <f t="shared" si="0"/>
        <v>1.5</v>
      </c>
      <c r="R17">
        <f t="shared" si="1"/>
        <v>1.5</v>
      </c>
      <c r="S17">
        <v>15</v>
      </c>
    </row>
    <row r="18" spans="1:19" x14ac:dyDescent="0.3">
      <c r="A18" s="25">
        <v>5</v>
      </c>
      <c r="B18" s="9"/>
      <c r="C18" s="10" t="s">
        <v>13</v>
      </c>
      <c r="D18" s="11">
        <v>58</v>
      </c>
      <c r="E18" s="12">
        <v>64</v>
      </c>
      <c r="F18" s="13">
        <v>58</v>
      </c>
      <c r="G18" s="14">
        <v>80</v>
      </c>
      <c r="H18" s="15">
        <v>65</v>
      </c>
      <c r="I18" s="8">
        <v>325</v>
      </c>
      <c r="J18" s="26">
        <v>65</v>
      </c>
      <c r="L18" cm="1">
        <f t="array" ref="L18">_xlfn.IFS(D18&lt;50, 1,
     D18&lt;70, 1.5,
     D18&lt;100, 2,
     D18&lt;120, 2.5,
     TRUE, 3)</f>
        <v>1.5</v>
      </c>
      <c r="M18" cm="1">
        <f t="array" ref="M18">_xlfn.IFS(E18&lt;50, 1,
     E18&lt;70, 1.5,
     E18&lt;100, 2,
     E18&lt;120, 2.5,
     TRUE, 3)</f>
        <v>1.5</v>
      </c>
      <c r="N18" cm="1">
        <f t="array" ref="N18">_xlfn.IFS(F18&lt;50, 1,
     F18&lt;70, 1.5,
     F18&lt;100, 2,
     F18&lt;120, 2.5,
     TRUE, 3)</f>
        <v>1.5</v>
      </c>
      <c r="O18" cm="1">
        <f t="array" ref="O18">_xlfn.IFS(G18&lt;50, 10,
     G18&lt;70, 15,
     G18&lt;100, 20,
     G18&lt;120, 25,
     TRUE, 30)</f>
        <v>20</v>
      </c>
      <c r="P18" cm="1">
        <f t="array" ref="P18">_xlfn.IFS(H18&lt;50, 1,
     H18&lt;70, 1.5,
     H18&lt;100, 2,
     H18&lt;120, 2.5,
     TRUE, 3)</f>
        <v>1.5</v>
      </c>
      <c r="Q18">
        <f t="shared" si="0"/>
        <v>1.5</v>
      </c>
      <c r="R18">
        <f t="shared" si="1"/>
        <v>1.5</v>
      </c>
      <c r="S18">
        <v>20</v>
      </c>
    </row>
    <row r="19" spans="1:19" x14ac:dyDescent="0.3">
      <c r="A19" s="25">
        <v>6</v>
      </c>
      <c r="B19" s="9"/>
      <c r="C19" s="10" t="s">
        <v>14</v>
      </c>
      <c r="D19" s="11">
        <v>78</v>
      </c>
      <c r="E19" s="12">
        <v>84</v>
      </c>
      <c r="F19" s="13">
        <v>78</v>
      </c>
      <c r="G19" s="14">
        <v>100</v>
      </c>
      <c r="H19" s="15">
        <v>85</v>
      </c>
      <c r="I19" s="8">
        <v>425</v>
      </c>
      <c r="J19" s="26">
        <v>85</v>
      </c>
      <c r="L19" cm="1">
        <f t="array" ref="L19">_xlfn.IFS(D19&lt;50, 1,
     D19&lt;70, 1.5,
     D19&lt;100, 2,
     D19&lt;120, 2.5,
     TRUE, 3)</f>
        <v>2</v>
      </c>
      <c r="M19" cm="1">
        <f t="array" ref="M19">_xlfn.IFS(E19&lt;50, 1,
     E19&lt;70, 1.5,
     E19&lt;100, 2,
     E19&lt;120, 2.5,
     TRUE, 3)</f>
        <v>2</v>
      </c>
      <c r="N19" cm="1">
        <f t="array" ref="N19">_xlfn.IFS(F19&lt;50, 1,
     F19&lt;70, 1.5,
     F19&lt;100, 2,
     F19&lt;120, 2.5,
     TRUE, 3)</f>
        <v>2</v>
      </c>
      <c r="O19" cm="1">
        <f t="array" ref="O19">_xlfn.IFS(G19&lt;50, 10,
     G19&lt;70, 15,
     G19&lt;100, 20,
     G19&lt;120, 25,
     TRUE, 30)</f>
        <v>25</v>
      </c>
      <c r="P19" cm="1">
        <f t="array" ref="P19">_xlfn.IFS(H19&lt;50, 1,
     H19&lt;70, 1.5,
     H19&lt;100, 2,
     H19&lt;120, 2.5,
     TRUE, 3)</f>
        <v>2</v>
      </c>
      <c r="Q19">
        <f t="shared" si="0"/>
        <v>2</v>
      </c>
      <c r="R19">
        <f t="shared" si="1"/>
        <v>2</v>
      </c>
      <c r="S19">
        <v>25</v>
      </c>
    </row>
    <row r="20" spans="1:19" x14ac:dyDescent="0.3">
      <c r="A20" s="25">
        <v>7</v>
      </c>
      <c r="B20" s="9"/>
      <c r="C20" s="10" t="s">
        <v>15</v>
      </c>
      <c r="D20" s="11">
        <v>44</v>
      </c>
      <c r="E20" s="12">
        <v>48</v>
      </c>
      <c r="F20" s="13">
        <v>65</v>
      </c>
      <c r="G20" s="14">
        <v>43</v>
      </c>
      <c r="H20" s="15">
        <v>64</v>
      </c>
      <c r="I20" s="8">
        <v>264</v>
      </c>
      <c r="J20" s="26">
        <v>52.8</v>
      </c>
      <c r="L20" cm="1">
        <f t="array" ref="L20">_xlfn.IFS(D20&lt;50, 1,
     D20&lt;70, 1.5,
     D20&lt;100, 2,
     D20&lt;120, 2.5,
     TRUE, 3)</f>
        <v>1</v>
      </c>
      <c r="M20" cm="1">
        <f t="array" ref="M20">_xlfn.IFS(E20&lt;50, 1,
     E20&lt;70, 1.5,
     E20&lt;100, 2,
     E20&lt;120, 2.5,
     TRUE, 3)</f>
        <v>1</v>
      </c>
      <c r="N20" cm="1">
        <f t="array" ref="N20">_xlfn.IFS(F20&lt;50, 1,
     F20&lt;70, 1.5,
     F20&lt;100, 2,
     F20&lt;120, 2.5,
     TRUE, 3)</f>
        <v>1.5</v>
      </c>
      <c r="O20" cm="1">
        <f t="array" ref="O20">_xlfn.IFS(G20&lt;50, 10,
     G20&lt;70, 15,
     G20&lt;100, 20,
     G20&lt;120, 25,
     TRUE, 30)</f>
        <v>10</v>
      </c>
      <c r="P20" cm="1">
        <f t="array" ref="P20">_xlfn.IFS(H20&lt;50, 1,
     H20&lt;70, 1.5,
     H20&lt;100, 2,
     H20&lt;120, 2.5,
     TRUE, 3)</f>
        <v>1.5</v>
      </c>
      <c r="Q20">
        <f t="shared" si="0"/>
        <v>1.5</v>
      </c>
      <c r="R20">
        <f t="shared" si="1"/>
        <v>1.5</v>
      </c>
      <c r="S20">
        <v>10</v>
      </c>
    </row>
    <row r="21" spans="1:19" x14ac:dyDescent="0.3">
      <c r="A21" s="25">
        <v>8</v>
      </c>
      <c r="B21" s="9"/>
      <c r="C21" s="10" t="s">
        <v>16</v>
      </c>
      <c r="D21" s="11">
        <v>59</v>
      </c>
      <c r="E21" s="12">
        <v>63</v>
      </c>
      <c r="F21" s="13">
        <v>80</v>
      </c>
      <c r="G21" s="14">
        <v>58</v>
      </c>
      <c r="H21" s="15">
        <v>65</v>
      </c>
      <c r="I21" s="8">
        <v>325</v>
      </c>
      <c r="J21" s="26">
        <v>65</v>
      </c>
      <c r="L21" cm="1">
        <f t="array" ref="L21">_xlfn.IFS(D21&lt;50, 1,
     D21&lt;70, 1.5,
     D21&lt;100, 2,
     D21&lt;120, 2.5,
     TRUE, 3)</f>
        <v>1.5</v>
      </c>
      <c r="M21" cm="1">
        <f t="array" ref="M21">_xlfn.IFS(E21&lt;50, 1,
     E21&lt;70, 1.5,
     E21&lt;100, 2,
     E21&lt;120, 2.5,
     TRUE, 3)</f>
        <v>1.5</v>
      </c>
      <c r="N21" cm="1">
        <f t="array" ref="N21">_xlfn.IFS(F21&lt;50, 1,
     F21&lt;70, 1.5,
     F21&lt;100, 2,
     F21&lt;120, 2.5,
     TRUE, 3)</f>
        <v>2</v>
      </c>
      <c r="O21" cm="1">
        <f t="array" ref="O21">_xlfn.IFS(G21&lt;50, 10,
     G21&lt;70, 15,
     G21&lt;100, 20,
     G21&lt;120, 25,
     TRUE, 30)</f>
        <v>15</v>
      </c>
      <c r="P21" cm="1">
        <f t="array" ref="P21">_xlfn.IFS(H21&lt;50, 1,
     H21&lt;70, 1.5,
     H21&lt;100, 2,
     H21&lt;120, 2.5,
     TRUE, 3)</f>
        <v>1.5</v>
      </c>
      <c r="Q21">
        <f t="shared" si="0"/>
        <v>1.5</v>
      </c>
      <c r="R21">
        <f t="shared" si="1"/>
        <v>2</v>
      </c>
      <c r="S21">
        <v>15</v>
      </c>
    </row>
    <row r="22" spans="1:19" x14ac:dyDescent="0.3">
      <c r="A22" s="25">
        <v>9</v>
      </c>
      <c r="B22" s="9"/>
      <c r="C22" s="10" t="s">
        <v>17</v>
      </c>
      <c r="D22" s="11">
        <v>79</v>
      </c>
      <c r="E22" s="12">
        <v>83</v>
      </c>
      <c r="F22" s="13">
        <v>100</v>
      </c>
      <c r="G22" s="14">
        <v>78</v>
      </c>
      <c r="H22" s="15">
        <v>85</v>
      </c>
      <c r="I22" s="8">
        <v>425</v>
      </c>
      <c r="J22" s="26">
        <v>85</v>
      </c>
      <c r="L22" cm="1">
        <f t="array" ref="L22">_xlfn.IFS(D22&lt;50, 1,
     D22&lt;70, 1.5,
     D22&lt;100, 2,
     D22&lt;120, 2.5,
     TRUE, 3)</f>
        <v>2</v>
      </c>
      <c r="M22" cm="1">
        <f t="array" ref="M22">_xlfn.IFS(E22&lt;50, 1,
     E22&lt;70, 1.5,
     E22&lt;100, 2,
     E22&lt;120, 2.5,
     TRUE, 3)</f>
        <v>2</v>
      </c>
      <c r="N22" cm="1">
        <f t="array" ref="N22">_xlfn.IFS(F22&lt;50, 1,
     F22&lt;70, 1.5,
     F22&lt;100, 2,
     F22&lt;120, 2.5,
     TRUE, 3)</f>
        <v>2.5</v>
      </c>
      <c r="O22" cm="1">
        <f t="array" ref="O22">_xlfn.IFS(G22&lt;50, 10,
     G22&lt;70, 15,
     G22&lt;100, 20,
     G22&lt;120, 25,
     TRUE, 30)</f>
        <v>20</v>
      </c>
      <c r="P22" cm="1">
        <f t="array" ref="P22">_xlfn.IFS(H22&lt;50, 1,
     H22&lt;70, 1.5,
     H22&lt;100, 2,
     H22&lt;120, 2.5,
     TRUE, 3)</f>
        <v>2</v>
      </c>
      <c r="Q22">
        <f t="shared" si="0"/>
        <v>2</v>
      </c>
      <c r="R22">
        <f t="shared" si="1"/>
        <v>2.5</v>
      </c>
      <c r="S22">
        <v>20</v>
      </c>
    </row>
    <row r="23" spans="1:19" x14ac:dyDescent="0.3">
      <c r="A23" s="25">
        <v>10</v>
      </c>
      <c r="B23" s="9"/>
      <c r="C23" s="10" t="s">
        <v>18</v>
      </c>
      <c r="D23" s="11">
        <v>45</v>
      </c>
      <c r="E23" s="12">
        <v>30</v>
      </c>
      <c r="F23" s="13">
        <v>35</v>
      </c>
      <c r="G23" s="14">
        <v>45</v>
      </c>
      <c r="H23" s="15">
        <v>20</v>
      </c>
      <c r="I23" s="8">
        <v>175</v>
      </c>
      <c r="J23" s="26">
        <v>35</v>
      </c>
      <c r="L23" cm="1">
        <f t="array" ref="L23">_xlfn.IFS(D23&lt;50, 1,
     D23&lt;70, 1.5,
     D23&lt;100, 2,
     D23&lt;120, 2.5,
     TRUE, 3)</f>
        <v>1</v>
      </c>
      <c r="M23" cm="1">
        <f t="array" ref="M23">_xlfn.IFS(E23&lt;50, 1,
     E23&lt;70, 1.5,
     E23&lt;100, 2,
     E23&lt;120, 2.5,
     TRUE, 3)</f>
        <v>1</v>
      </c>
      <c r="N23" cm="1">
        <f t="array" ref="N23">_xlfn.IFS(F23&lt;50, 1,
     F23&lt;70, 1.5,
     F23&lt;100, 2,
     F23&lt;120, 2.5,
     TRUE, 3)</f>
        <v>1</v>
      </c>
      <c r="O23" cm="1">
        <f t="array" ref="O23">_xlfn.IFS(G23&lt;50, 10,
     G23&lt;70, 15,
     G23&lt;100, 20,
     G23&lt;120, 25,
     TRUE, 30)</f>
        <v>10</v>
      </c>
      <c r="P23" cm="1">
        <f t="array" ref="P23">_xlfn.IFS(H23&lt;50, 1,
     H23&lt;70, 1.5,
     H23&lt;100, 2,
     H23&lt;120, 2.5,
     TRUE, 3)</f>
        <v>1</v>
      </c>
      <c r="Q23">
        <f t="shared" si="0"/>
        <v>1</v>
      </c>
      <c r="R23">
        <f t="shared" si="1"/>
        <v>1</v>
      </c>
      <c r="S23">
        <v>10</v>
      </c>
    </row>
    <row r="24" spans="1:19" x14ac:dyDescent="0.3">
      <c r="A24" s="25">
        <v>11</v>
      </c>
      <c r="B24" s="9"/>
      <c r="C24" s="10" t="s">
        <v>19</v>
      </c>
      <c r="D24" s="11">
        <v>50</v>
      </c>
      <c r="E24" s="12">
        <v>20</v>
      </c>
      <c r="F24" s="13">
        <v>55</v>
      </c>
      <c r="G24" s="14">
        <v>30</v>
      </c>
      <c r="H24" s="15">
        <v>25</v>
      </c>
      <c r="I24" s="8">
        <v>180</v>
      </c>
      <c r="J24" s="26">
        <v>36</v>
      </c>
      <c r="L24" cm="1">
        <f t="array" ref="L24">_xlfn.IFS(D24&lt;50, 1,
     D24&lt;70, 1.5,
     D24&lt;100, 2,
     D24&lt;120, 2.5,
     TRUE, 3)</f>
        <v>1.5</v>
      </c>
      <c r="M24" cm="1">
        <f t="array" ref="M24">_xlfn.IFS(E24&lt;50, 1,
     E24&lt;70, 1.5,
     E24&lt;100, 2,
     E24&lt;120, 2.5,
     TRUE, 3)</f>
        <v>1</v>
      </c>
      <c r="N24" cm="1">
        <f t="array" ref="N24">_xlfn.IFS(F24&lt;50, 1,
     F24&lt;70, 1.5,
     F24&lt;100, 2,
     F24&lt;120, 2.5,
     TRUE, 3)</f>
        <v>1.5</v>
      </c>
      <c r="O24" cm="1">
        <f t="array" ref="O24">_xlfn.IFS(G24&lt;50, 10,
     G24&lt;70, 15,
     G24&lt;100, 20,
     G24&lt;120, 25,
     TRUE, 30)</f>
        <v>10</v>
      </c>
      <c r="P24" cm="1">
        <f t="array" ref="P24">_xlfn.IFS(H24&lt;50, 1,
     H24&lt;70, 1.5,
     H24&lt;100, 2,
     H24&lt;120, 2.5,
     TRUE, 3)</f>
        <v>1</v>
      </c>
      <c r="Q24">
        <f t="shared" si="0"/>
        <v>1</v>
      </c>
      <c r="R24">
        <f t="shared" si="1"/>
        <v>1.5</v>
      </c>
      <c r="S24">
        <v>10</v>
      </c>
    </row>
    <row r="25" spans="1:19" x14ac:dyDescent="0.3">
      <c r="A25" s="25">
        <v>12</v>
      </c>
      <c r="B25" s="9"/>
      <c r="C25" s="10" t="s">
        <v>20</v>
      </c>
      <c r="D25" s="11">
        <v>60</v>
      </c>
      <c r="E25" s="12">
        <v>45</v>
      </c>
      <c r="F25" s="13">
        <v>50</v>
      </c>
      <c r="G25" s="14">
        <v>70</v>
      </c>
      <c r="H25" s="15">
        <v>80</v>
      </c>
      <c r="I25" s="8">
        <v>305</v>
      </c>
      <c r="J25" s="26">
        <v>61</v>
      </c>
      <c r="L25" cm="1">
        <f t="array" ref="L25">_xlfn.IFS(D25&lt;50, 1,
     D25&lt;70, 1.5,
     D25&lt;100, 2,
     D25&lt;120, 2.5,
     TRUE, 3)</f>
        <v>1.5</v>
      </c>
      <c r="M25" cm="1">
        <f t="array" ref="M25">_xlfn.IFS(E25&lt;50, 1,
     E25&lt;70, 1.5,
     E25&lt;100, 2,
     E25&lt;120, 2.5,
     TRUE, 3)</f>
        <v>1</v>
      </c>
      <c r="N25" cm="1">
        <f t="array" ref="N25">_xlfn.IFS(F25&lt;50, 1,
     F25&lt;70, 1.5,
     F25&lt;100, 2,
     F25&lt;120, 2.5,
     TRUE, 3)</f>
        <v>1.5</v>
      </c>
      <c r="O25" cm="1">
        <f t="array" ref="O25">_xlfn.IFS(G25&lt;50, 10,
     G25&lt;70, 15,
     G25&lt;100, 20,
     G25&lt;120, 25,
     TRUE, 30)</f>
        <v>20</v>
      </c>
      <c r="P25" cm="1">
        <f t="array" ref="P25">_xlfn.IFS(H25&lt;50, 1,
     H25&lt;70, 1.5,
     H25&lt;100, 2,
     H25&lt;120, 2.5,
     TRUE, 3)</f>
        <v>2</v>
      </c>
      <c r="Q25">
        <f t="shared" si="0"/>
        <v>2</v>
      </c>
      <c r="R25">
        <f t="shared" si="1"/>
        <v>2</v>
      </c>
      <c r="S25">
        <v>20</v>
      </c>
    </row>
    <row r="26" spans="1:19" x14ac:dyDescent="0.3">
      <c r="A26" s="25">
        <v>13</v>
      </c>
      <c r="B26" s="9"/>
      <c r="C26" s="10" t="s">
        <v>21</v>
      </c>
      <c r="D26" s="11">
        <v>40</v>
      </c>
      <c r="E26" s="12">
        <v>35</v>
      </c>
      <c r="F26" s="13">
        <v>30</v>
      </c>
      <c r="G26" s="14">
        <v>50</v>
      </c>
      <c r="H26" s="15">
        <v>20</v>
      </c>
      <c r="I26" s="8">
        <v>175</v>
      </c>
      <c r="J26" s="26">
        <v>35</v>
      </c>
      <c r="L26" cm="1">
        <f t="array" ref="L26">_xlfn.IFS(D26&lt;50, 1,
     D26&lt;70, 1.5,
     D26&lt;100, 2,
     D26&lt;120, 2.5,
     TRUE, 3)</f>
        <v>1</v>
      </c>
      <c r="M26" cm="1">
        <f t="array" ref="M26">_xlfn.IFS(E26&lt;50, 1,
     E26&lt;70, 1.5,
     E26&lt;100, 2,
     E26&lt;120, 2.5,
     TRUE, 3)</f>
        <v>1</v>
      </c>
      <c r="N26" cm="1">
        <f t="array" ref="N26">_xlfn.IFS(F26&lt;50, 1,
     F26&lt;70, 1.5,
     F26&lt;100, 2,
     F26&lt;120, 2.5,
     TRUE, 3)</f>
        <v>1</v>
      </c>
      <c r="O26" cm="1">
        <f t="array" ref="O26">_xlfn.IFS(G26&lt;50, 10,
     G26&lt;70, 15,
     G26&lt;100, 20,
     G26&lt;120, 25,
     TRUE, 30)</f>
        <v>15</v>
      </c>
      <c r="P26" cm="1">
        <f t="array" ref="P26">_xlfn.IFS(H26&lt;50, 1,
     H26&lt;70, 1.5,
     H26&lt;100, 2,
     H26&lt;120, 2.5,
     TRUE, 3)</f>
        <v>1</v>
      </c>
      <c r="Q26">
        <f t="shared" si="0"/>
        <v>1</v>
      </c>
      <c r="R26">
        <f t="shared" si="1"/>
        <v>1</v>
      </c>
      <c r="S26">
        <v>15</v>
      </c>
    </row>
    <row r="27" spans="1:19" x14ac:dyDescent="0.3">
      <c r="A27" s="25">
        <v>14</v>
      </c>
      <c r="B27" s="9"/>
      <c r="C27" s="10" t="s">
        <v>22</v>
      </c>
      <c r="D27" s="11">
        <v>45</v>
      </c>
      <c r="E27" s="12">
        <v>25</v>
      </c>
      <c r="F27" s="13">
        <v>50</v>
      </c>
      <c r="G27" s="14">
        <v>35</v>
      </c>
      <c r="H27" s="15">
        <v>25</v>
      </c>
      <c r="I27" s="8">
        <v>180</v>
      </c>
      <c r="J27" s="26">
        <v>36</v>
      </c>
      <c r="L27" cm="1">
        <f t="array" ref="L27">_xlfn.IFS(D27&lt;50, 1,
     D27&lt;70, 1.5,
     D27&lt;100, 2,
     D27&lt;120, 2.5,
     TRUE, 3)</f>
        <v>1</v>
      </c>
      <c r="M27" cm="1">
        <f t="array" ref="M27">_xlfn.IFS(E27&lt;50, 1,
     E27&lt;70, 1.5,
     E27&lt;100, 2,
     E27&lt;120, 2.5,
     TRUE, 3)</f>
        <v>1</v>
      </c>
      <c r="N27" cm="1">
        <f t="array" ref="N27">_xlfn.IFS(F27&lt;50, 1,
     F27&lt;70, 1.5,
     F27&lt;100, 2,
     F27&lt;120, 2.5,
     TRUE, 3)</f>
        <v>1.5</v>
      </c>
      <c r="O27" cm="1">
        <f t="array" ref="O27">_xlfn.IFS(G27&lt;50, 10,
     G27&lt;70, 15,
     G27&lt;100, 20,
     G27&lt;120, 25,
     TRUE, 30)</f>
        <v>10</v>
      </c>
      <c r="P27" cm="1">
        <f t="array" ref="P27">_xlfn.IFS(H27&lt;50, 1,
     H27&lt;70, 1.5,
     H27&lt;100, 2,
     H27&lt;120, 2.5,
     TRUE, 3)</f>
        <v>1</v>
      </c>
      <c r="Q27">
        <f t="shared" si="0"/>
        <v>1</v>
      </c>
      <c r="R27">
        <f t="shared" si="1"/>
        <v>1.5</v>
      </c>
      <c r="S27">
        <v>10</v>
      </c>
    </row>
    <row r="28" spans="1:19" x14ac:dyDescent="0.3">
      <c r="A28" s="25">
        <v>15</v>
      </c>
      <c r="B28" s="9"/>
      <c r="C28" s="10" t="s">
        <v>23</v>
      </c>
      <c r="D28" s="11">
        <v>65</v>
      </c>
      <c r="E28" s="12">
        <v>80</v>
      </c>
      <c r="F28" s="13">
        <v>40</v>
      </c>
      <c r="G28" s="14">
        <v>75</v>
      </c>
      <c r="H28" s="15">
        <v>45</v>
      </c>
      <c r="I28" s="8">
        <v>305</v>
      </c>
      <c r="J28" s="26">
        <v>61</v>
      </c>
      <c r="L28" cm="1">
        <f t="array" ref="L28">_xlfn.IFS(D28&lt;50, 1,
     D28&lt;70, 1.5,
     D28&lt;100, 2,
     D28&lt;120, 2.5,
     TRUE, 3)</f>
        <v>1.5</v>
      </c>
      <c r="M28" cm="1">
        <f t="array" ref="M28">_xlfn.IFS(E28&lt;50, 1,
     E28&lt;70, 1.5,
     E28&lt;100, 2,
     E28&lt;120, 2.5,
     TRUE, 3)</f>
        <v>2</v>
      </c>
      <c r="N28" cm="1">
        <f t="array" ref="N28">_xlfn.IFS(F28&lt;50, 1,
     F28&lt;70, 1.5,
     F28&lt;100, 2,
     F28&lt;120, 2.5,
     TRUE, 3)</f>
        <v>1</v>
      </c>
      <c r="O28" cm="1">
        <f t="array" ref="O28">_xlfn.IFS(G28&lt;50, 10,
     G28&lt;70, 15,
     G28&lt;100, 20,
     G28&lt;120, 25,
     TRUE, 30)</f>
        <v>20</v>
      </c>
      <c r="P28" cm="1">
        <f t="array" ref="P28">_xlfn.IFS(H28&lt;50, 1,
     H28&lt;70, 1.5,
     H28&lt;100, 2,
     H28&lt;120, 2.5,
     TRUE, 3)</f>
        <v>1</v>
      </c>
      <c r="Q28">
        <f t="shared" si="0"/>
        <v>2</v>
      </c>
      <c r="R28">
        <f t="shared" si="1"/>
        <v>1</v>
      </c>
      <c r="S28">
        <v>20</v>
      </c>
    </row>
    <row r="29" spans="1:19" x14ac:dyDescent="0.3">
      <c r="A29" s="25">
        <v>16</v>
      </c>
      <c r="B29" s="9"/>
      <c r="C29" s="10" t="s">
        <v>24</v>
      </c>
      <c r="D29" s="11">
        <v>40</v>
      </c>
      <c r="E29" s="12">
        <v>45</v>
      </c>
      <c r="F29" s="13">
        <v>40</v>
      </c>
      <c r="G29" s="14">
        <v>56</v>
      </c>
      <c r="H29" s="15">
        <v>35</v>
      </c>
      <c r="I29" s="8">
        <v>216</v>
      </c>
      <c r="J29" s="26">
        <v>43.2</v>
      </c>
      <c r="L29" cm="1">
        <f t="array" ref="L29">_xlfn.IFS(D29&lt;50, 1,
     D29&lt;70, 1.5,
     D29&lt;100, 2,
     D29&lt;120, 2.5,
     TRUE, 3)</f>
        <v>1</v>
      </c>
      <c r="M29" cm="1">
        <f t="array" ref="M29">_xlfn.IFS(E29&lt;50, 1,
     E29&lt;70, 1.5,
     E29&lt;100, 2,
     E29&lt;120, 2.5,
     TRUE, 3)</f>
        <v>1</v>
      </c>
      <c r="N29" cm="1">
        <f t="array" ref="N29">_xlfn.IFS(F29&lt;50, 1,
     F29&lt;70, 1.5,
     F29&lt;100, 2,
     F29&lt;120, 2.5,
     TRUE, 3)</f>
        <v>1</v>
      </c>
      <c r="O29" cm="1">
        <f t="array" ref="O29">_xlfn.IFS(G29&lt;50, 10,
     G29&lt;70, 15,
     G29&lt;100, 20,
     G29&lt;120, 25,
     TRUE, 30)</f>
        <v>15</v>
      </c>
      <c r="P29" cm="1">
        <f t="array" ref="P29">_xlfn.IFS(H29&lt;50, 1,
     H29&lt;70, 1.5,
     H29&lt;100, 2,
     H29&lt;120, 2.5,
     TRUE, 3)</f>
        <v>1</v>
      </c>
      <c r="Q29">
        <f t="shared" si="0"/>
        <v>1</v>
      </c>
      <c r="R29">
        <f t="shared" si="1"/>
        <v>1</v>
      </c>
      <c r="S29">
        <v>15</v>
      </c>
    </row>
    <row r="30" spans="1:19" x14ac:dyDescent="0.3">
      <c r="A30" s="25">
        <v>17</v>
      </c>
      <c r="B30" s="9"/>
      <c r="C30" s="10" t="s">
        <v>25</v>
      </c>
      <c r="D30" s="11">
        <v>63</v>
      </c>
      <c r="E30" s="12">
        <v>60</v>
      </c>
      <c r="F30" s="13">
        <v>55</v>
      </c>
      <c r="G30" s="14">
        <v>71</v>
      </c>
      <c r="H30" s="15">
        <v>50</v>
      </c>
      <c r="I30" s="8">
        <v>299</v>
      </c>
      <c r="J30" s="26">
        <v>59.8</v>
      </c>
      <c r="L30" cm="1">
        <f t="array" ref="L30">_xlfn.IFS(D30&lt;50, 1,
     D30&lt;70, 1.5,
     D30&lt;100, 2,
     D30&lt;120, 2.5,
     TRUE, 3)</f>
        <v>1.5</v>
      </c>
      <c r="M30" cm="1">
        <f t="array" ref="M30">_xlfn.IFS(E30&lt;50, 1,
     E30&lt;70, 1.5,
     E30&lt;100, 2,
     E30&lt;120, 2.5,
     TRUE, 3)</f>
        <v>1.5</v>
      </c>
      <c r="N30" cm="1">
        <f t="array" ref="N30">_xlfn.IFS(F30&lt;50, 1,
     F30&lt;70, 1.5,
     F30&lt;100, 2,
     F30&lt;120, 2.5,
     TRUE, 3)</f>
        <v>1.5</v>
      </c>
      <c r="O30" cm="1">
        <f t="array" ref="O30">_xlfn.IFS(G30&lt;50, 10,
     G30&lt;70, 15,
     G30&lt;100, 20,
     G30&lt;120, 25,
     TRUE, 30)</f>
        <v>20</v>
      </c>
      <c r="P30" cm="1">
        <f t="array" ref="P30">_xlfn.IFS(H30&lt;50, 1,
     H30&lt;70, 1.5,
     H30&lt;100, 2,
     H30&lt;120, 2.5,
     TRUE, 3)</f>
        <v>1.5</v>
      </c>
      <c r="Q30">
        <f t="shared" si="0"/>
        <v>1.5</v>
      </c>
      <c r="R30">
        <f t="shared" si="1"/>
        <v>1.5</v>
      </c>
      <c r="S30">
        <v>20</v>
      </c>
    </row>
    <row r="31" spans="1:19" x14ac:dyDescent="0.3">
      <c r="A31" s="25">
        <v>18</v>
      </c>
      <c r="B31" s="9"/>
      <c r="C31" s="10" t="s">
        <v>26</v>
      </c>
      <c r="D31" s="11">
        <v>83</v>
      </c>
      <c r="E31" s="12">
        <v>80</v>
      </c>
      <c r="F31" s="13">
        <v>75</v>
      </c>
      <c r="G31" s="14">
        <v>91</v>
      </c>
      <c r="H31" s="15">
        <v>70</v>
      </c>
      <c r="I31" s="8">
        <v>399</v>
      </c>
      <c r="J31" s="26">
        <v>79.8</v>
      </c>
      <c r="L31" cm="1">
        <f t="array" ref="L31">_xlfn.IFS(D31&lt;50, 1,
     D31&lt;70, 1.5,
     D31&lt;100, 2,
     D31&lt;120, 2.5,
     TRUE, 3)</f>
        <v>2</v>
      </c>
      <c r="M31" cm="1">
        <f t="array" ref="M31">_xlfn.IFS(E31&lt;50, 1,
     E31&lt;70, 1.5,
     E31&lt;100, 2,
     E31&lt;120, 2.5,
     TRUE, 3)</f>
        <v>2</v>
      </c>
      <c r="N31" cm="1">
        <f t="array" ref="N31">_xlfn.IFS(F31&lt;50, 1,
     F31&lt;70, 1.5,
     F31&lt;100, 2,
     F31&lt;120, 2.5,
     TRUE, 3)</f>
        <v>2</v>
      </c>
      <c r="O31" cm="1">
        <f t="array" ref="O31">_xlfn.IFS(G31&lt;50, 10,
     G31&lt;70, 15,
     G31&lt;100, 20,
     G31&lt;120, 25,
     TRUE, 30)</f>
        <v>20</v>
      </c>
      <c r="P31" cm="1">
        <f t="array" ref="P31">_xlfn.IFS(H31&lt;50, 1,
     H31&lt;70, 1.5,
     H31&lt;100, 2,
     H31&lt;120, 2.5,
     TRUE, 3)</f>
        <v>2</v>
      </c>
      <c r="Q31">
        <f t="shared" si="0"/>
        <v>2</v>
      </c>
      <c r="R31">
        <f t="shared" si="1"/>
        <v>2</v>
      </c>
      <c r="S31">
        <v>20</v>
      </c>
    </row>
    <row r="32" spans="1:19" x14ac:dyDescent="0.3">
      <c r="A32" s="25">
        <v>19</v>
      </c>
      <c r="B32" s="9"/>
      <c r="C32" s="10" t="s">
        <v>27</v>
      </c>
      <c r="D32" s="11">
        <v>30</v>
      </c>
      <c r="E32" s="12">
        <v>56</v>
      </c>
      <c r="F32" s="13">
        <v>35</v>
      </c>
      <c r="G32" s="14">
        <v>72</v>
      </c>
      <c r="H32" s="15">
        <v>25</v>
      </c>
      <c r="I32" s="8">
        <v>218</v>
      </c>
      <c r="J32" s="26">
        <v>43.6</v>
      </c>
      <c r="L32" cm="1">
        <f t="array" ref="L32">_xlfn.IFS(D32&lt;50, 1,
     D32&lt;70, 1.5,
     D32&lt;100, 2,
     D32&lt;120, 2.5,
     TRUE, 3)</f>
        <v>1</v>
      </c>
      <c r="M32" cm="1">
        <f t="array" ref="M32">_xlfn.IFS(E32&lt;50, 1,
     E32&lt;70, 1.5,
     E32&lt;100, 2,
     E32&lt;120, 2.5,
     TRUE, 3)</f>
        <v>1.5</v>
      </c>
      <c r="N32" cm="1">
        <f t="array" ref="N32">_xlfn.IFS(F32&lt;50, 1,
     F32&lt;70, 1.5,
     F32&lt;100, 2,
     F32&lt;120, 2.5,
     TRUE, 3)</f>
        <v>1</v>
      </c>
      <c r="O32" cm="1">
        <f t="array" ref="O32">_xlfn.IFS(G32&lt;50, 10,
     G32&lt;70, 15,
     G32&lt;100, 20,
     G32&lt;120, 25,
     TRUE, 30)</f>
        <v>20</v>
      </c>
      <c r="P32" cm="1">
        <f t="array" ref="P32">_xlfn.IFS(H32&lt;50, 1,
     H32&lt;70, 1.5,
     H32&lt;100, 2,
     H32&lt;120, 2.5,
     TRUE, 3)</f>
        <v>1</v>
      </c>
      <c r="Q32">
        <f t="shared" si="0"/>
        <v>1.5</v>
      </c>
      <c r="R32">
        <f t="shared" si="1"/>
        <v>1</v>
      </c>
      <c r="S32">
        <v>20</v>
      </c>
    </row>
    <row r="33" spans="1:19" x14ac:dyDescent="0.3">
      <c r="A33" s="25">
        <v>20</v>
      </c>
      <c r="B33" s="9"/>
      <c r="C33" s="10" t="s">
        <v>28</v>
      </c>
      <c r="D33" s="11">
        <v>55</v>
      </c>
      <c r="E33" s="12">
        <v>81</v>
      </c>
      <c r="F33" s="13">
        <v>60</v>
      </c>
      <c r="G33" s="14">
        <v>97</v>
      </c>
      <c r="H33" s="15">
        <v>50</v>
      </c>
      <c r="I33" s="8">
        <v>343</v>
      </c>
      <c r="J33" s="26">
        <v>68.599999999999994</v>
      </c>
      <c r="L33" cm="1">
        <f t="array" ref="L33">_xlfn.IFS(D33&lt;50, 1,
     D33&lt;70, 1.5,
     D33&lt;100, 2,
     D33&lt;120, 2.5,
     TRUE, 3)</f>
        <v>1.5</v>
      </c>
      <c r="M33" cm="1">
        <f t="array" ref="M33">_xlfn.IFS(E33&lt;50, 1,
     E33&lt;70, 1.5,
     E33&lt;100, 2,
     E33&lt;120, 2.5,
     TRUE, 3)</f>
        <v>2</v>
      </c>
      <c r="N33" cm="1">
        <f t="array" ref="N33">_xlfn.IFS(F33&lt;50, 1,
     F33&lt;70, 1.5,
     F33&lt;100, 2,
     F33&lt;120, 2.5,
     TRUE, 3)</f>
        <v>1.5</v>
      </c>
      <c r="O33" cm="1">
        <f t="array" ref="O33">_xlfn.IFS(G33&lt;50, 10,
     G33&lt;70, 15,
     G33&lt;100, 20,
     G33&lt;120, 25,
     TRUE, 30)</f>
        <v>20</v>
      </c>
      <c r="P33" cm="1">
        <f t="array" ref="P33">_xlfn.IFS(H33&lt;50, 1,
     H33&lt;70, 1.5,
     H33&lt;100, 2,
     H33&lt;120, 2.5,
     TRUE, 3)</f>
        <v>1.5</v>
      </c>
      <c r="Q33">
        <f t="shared" si="0"/>
        <v>2</v>
      </c>
      <c r="R33">
        <f t="shared" si="1"/>
        <v>1.5</v>
      </c>
      <c r="S33">
        <v>20</v>
      </c>
    </row>
    <row r="34" spans="1:19" x14ac:dyDescent="0.3">
      <c r="A34" s="25">
        <v>21</v>
      </c>
      <c r="B34" s="9"/>
      <c r="C34" s="10" t="s">
        <v>29</v>
      </c>
      <c r="D34" s="11">
        <v>40</v>
      </c>
      <c r="E34" s="12">
        <v>60</v>
      </c>
      <c r="F34" s="13">
        <v>30</v>
      </c>
      <c r="G34" s="14">
        <v>70</v>
      </c>
      <c r="H34" s="15">
        <v>31</v>
      </c>
      <c r="I34" s="8">
        <v>231</v>
      </c>
      <c r="J34" s="26">
        <v>46.2</v>
      </c>
      <c r="L34" cm="1">
        <f t="array" ref="L34">_xlfn.IFS(D34&lt;50, 1,
     D34&lt;70, 1.5,
     D34&lt;100, 2,
     D34&lt;120, 2.5,
     TRUE, 3)</f>
        <v>1</v>
      </c>
      <c r="M34" cm="1">
        <f t="array" ref="M34">_xlfn.IFS(E34&lt;50, 1,
     E34&lt;70, 1.5,
     E34&lt;100, 2,
     E34&lt;120, 2.5,
     TRUE, 3)</f>
        <v>1.5</v>
      </c>
      <c r="N34" cm="1">
        <f t="array" ref="N34">_xlfn.IFS(F34&lt;50, 1,
     F34&lt;70, 1.5,
     F34&lt;100, 2,
     F34&lt;120, 2.5,
     TRUE, 3)</f>
        <v>1</v>
      </c>
      <c r="O34" cm="1">
        <f t="array" ref="O34">_xlfn.IFS(G34&lt;50, 10,
     G34&lt;70, 15,
     G34&lt;100, 20,
     G34&lt;120, 25,
     TRUE, 30)</f>
        <v>20</v>
      </c>
      <c r="P34" cm="1">
        <f t="array" ref="P34">_xlfn.IFS(H34&lt;50, 1,
     H34&lt;70, 1.5,
     H34&lt;100, 2,
     H34&lt;120, 2.5,
     TRUE, 3)</f>
        <v>1</v>
      </c>
      <c r="Q34">
        <f t="shared" si="0"/>
        <v>1.5</v>
      </c>
      <c r="R34">
        <f t="shared" si="1"/>
        <v>1</v>
      </c>
      <c r="S34">
        <v>20</v>
      </c>
    </row>
    <row r="35" spans="1:19" ht="33" x14ac:dyDescent="0.3">
      <c r="A35" s="25">
        <v>22</v>
      </c>
      <c r="B35" s="9"/>
      <c r="C35" s="10" t="s">
        <v>30</v>
      </c>
      <c r="D35" s="11">
        <v>65</v>
      </c>
      <c r="E35" s="12">
        <v>90</v>
      </c>
      <c r="F35" s="13">
        <v>65</v>
      </c>
      <c r="G35" s="14">
        <v>100</v>
      </c>
      <c r="H35" s="15">
        <v>61</v>
      </c>
      <c r="I35" s="8">
        <v>381</v>
      </c>
      <c r="J35" s="26">
        <v>76.2</v>
      </c>
      <c r="L35" cm="1">
        <f t="array" ref="L35">_xlfn.IFS(D35&lt;50, 1,
     D35&lt;70, 1.5,
     D35&lt;100, 2,
     D35&lt;120, 2.5,
     TRUE, 3)</f>
        <v>1.5</v>
      </c>
      <c r="M35" cm="1">
        <f t="array" ref="M35">_xlfn.IFS(E35&lt;50, 1,
     E35&lt;70, 1.5,
     E35&lt;100, 2,
     E35&lt;120, 2.5,
     TRUE, 3)</f>
        <v>2</v>
      </c>
      <c r="N35" cm="1">
        <f t="array" ref="N35">_xlfn.IFS(F35&lt;50, 1,
     F35&lt;70, 1.5,
     F35&lt;100, 2,
     F35&lt;120, 2.5,
     TRUE, 3)</f>
        <v>1.5</v>
      </c>
      <c r="O35" cm="1">
        <f t="array" ref="O35">_xlfn.IFS(G35&lt;50, 10,
     G35&lt;70, 15,
     G35&lt;100, 20,
     G35&lt;120, 25,
     TRUE, 30)</f>
        <v>25</v>
      </c>
      <c r="P35" cm="1">
        <f t="array" ref="P35">_xlfn.IFS(H35&lt;50, 1,
     H35&lt;70, 1.5,
     H35&lt;100, 2,
     H35&lt;120, 2.5,
     TRUE, 3)</f>
        <v>1.5</v>
      </c>
      <c r="Q35">
        <f t="shared" si="0"/>
        <v>2</v>
      </c>
      <c r="R35">
        <f t="shared" si="1"/>
        <v>1.5</v>
      </c>
      <c r="S35">
        <v>25</v>
      </c>
    </row>
    <row r="36" spans="1:19" x14ac:dyDescent="0.3">
      <c r="A36" s="25">
        <v>23</v>
      </c>
      <c r="B36" s="9"/>
      <c r="C36" s="10" t="s">
        <v>31</v>
      </c>
      <c r="D36" s="11">
        <v>35</v>
      </c>
      <c r="E36" s="12">
        <v>60</v>
      </c>
      <c r="F36" s="13">
        <v>44</v>
      </c>
      <c r="G36" s="14">
        <v>55</v>
      </c>
      <c r="H36" s="15">
        <v>40</v>
      </c>
      <c r="I36" s="8">
        <v>234</v>
      </c>
      <c r="J36" s="26">
        <v>46.8</v>
      </c>
      <c r="L36" cm="1">
        <f t="array" ref="L36">_xlfn.IFS(D36&lt;50, 1,
     D36&lt;70, 1.5,
     D36&lt;100, 2,
     D36&lt;120, 2.5,
     TRUE, 3)</f>
        <v>1</v>
      </c>
      <c r="M36" cm="1">
        <f t="array" ref="M36">_xlfn.IFS(E36&lt;50, 1,
     E36&lt;70, 1.5,
     E36&lt;100, 2,
     E36&lt;120, 2.5,
     TRUE, 3)</f>
        <v>1.5</v>
      </c>
      <c r="N36" cm="1">
        <f t="array" ref="N36">_xlfn.IFS(F36&lt;50, 1,
     F36&lt;70, 1.5,
     F36&lt;100, 2,
     F36&lt;120, 2.5,
     TRUE, 3)</f>
        <v>1</v>
      </c>
      <c r="O36" cm="1">
        <f t="array" ref="O36">_xlfn.IFS(G36&lt;50, 10,
     G36&lt;70, 15,
     G36&lt;100, 20,
     G36&lt;120, 25,
     TRUE, 30)</f>
        <v>15</v>
      </c>
      <c r="P36" cm="1">
        <f t="array" ref="P36">_xlfn.IFS(H36&lt;50, 1,
     H36&lt;70, 1.5,
     H36&lt;100, 2,
     H36&lt;120, 2.5,
     TRUE, 3)</f>
        <v>1</v>
      </c>
      <c r="Q36">
        <f t="shared" si="0"/>
        <v>1.5</v>
      </c>
      <c r="R36">
        <f t="shared" si="1"/>
        <v>1</v>
      </c>
      <c r="S36">
        <v>15</v>
      </c>
    </row>
    <row r="37" spans="1:19" x14ac:dyDescent="0.3">
      <c r="A37" s="25">
        <v>24</v>
      </c>
      <c r="B37" s="9"/>
      <c r="C37" s="10" t="s">
        <v>32</v>
      </c>
      <c r="D37" s="11">
        <v>60</v>
      </c>
      <c r="E37" s="12">
        <v>85</v>
      </c>
      <c r="F37" s="13">
        <v>69</v>
      </c>
      <c r="G37" s="14">
        <v>80</v>
      </c>
      <c r="H37" s="15">
        <v>65</v>
      </c>
      <c r="I37" s="8">
        <v>359</v>
      </c>
      <c r="J37" s="26">
        <v>71.8</v>
      </c>
      <c r="L37" cm="1">
        <f t="array" ref="L37">_xlfn.IFS(D37&lt;50, 1,
     D37&lt;70, 1.5,
     D37&lt;100, 2,
     D37&lt;120, 2.5,
     TRUE, 3)</f>
        <v>1.5</v>
      </c>
      <c r="M37" cm="1">
        <f t="array" ref="M37">_xlfn.IFS(E37&lt;50, 1,
     E37&lt;70, 1.5,
     E37&lt;100, 2,
     E37&lt;120, 2.5,
     TRUE, 3)</f>
        <v>2</v>
      </c>
      <c r="N37" cm="1">
        <f t="array" ref="N37">_xlfn.IFS(F37&lt;50, 1,
     F37&lt;70, 1.5,
     F37&lt;100, 2,
     F37&lt;120, 2.5,
     TRUE, 3)</f>
        <v>1.5</v>
      </c>
      <c r="O37" cm="1">
        <f t="array" ref="O37">_xlfn.IFS(G37&lt;50, 10,
     G37&lt;70, 15,
     G37&lt;100, 20,
     G37&lt;120, 25,
     TRUE, 30)</f>
        <v>20</v>
      </c>
      <c r="P37" cm="1">
        <f t="array" ref="P37">_xlfn.IFS(H37&lt;50, 1,
     H37&lt;70, 1.5,
     H37&lt;100, 2,
     H37&lt;120, 2.5,
     TRUE, 3)</f>
        <v>1.5</v>
      </c>
      <c r="Q37">
        <f t="shared" si="0"/>
        <v>2</v>
      </c>
      <c r="R37">
        <f t="shared" si="1"/>
        <v>1.5</v>
      </c>
      <c r="S37">
        <v>20</v>
      </c>
    </row>
    <row r="38" spans="1:19" x14ac:dyDescent="0.3">
      <c r="A38" s="25">
        <v>25</v>
      </c>
      <c r="B38" s="9"/>
      <c r="C38" s="10" t="s">
        <v>33</v>
      </c>
      <c r="D38" s="11">
        <v>35</v>
      </c>
      <c r="E38" s="12">
        <v>55</v>
      </c>
      <c r="F38" s="13">
        <v>30</v>
      </c>
      <c r="G38" s="14">
        <v>90</v>
      </c>
      <c r="H38" s="15">
        <v>50</v>
      </c>
      <c r="I38" s="8">
        <v>260</v>
      </c>
      <c r="J38" s="26">
        <v>52</v>
      </c>
      <c r="L38" cm="1">
        <f t="array" ref="L38">_xlfn.IFS(D38&lt;50, 1,
     D38&lt;70, 1.5,
     D38&lt;100, 2,
     D38&lt;120, 2.5,
     TRUE, 3)</f>
        <v>1</v>
      </c>
      <c r="M38" cm="1">
        <f t="array" ref="M38">_xlfn.IFS(E38&lt;50, 1,
     E38&lt;70, 1.5,
     E38&lt;100, 2,
     E38&lt;120, 2.5,
     TRUE, 3)</f>
        <v>1.5</v>
      </c>
      <c r="N38" cm="1">
        <f t="array" ref="N38">_xlfn.IFS(F38&lt;50, 1,
     F38&lt;70, 1.5,
     F38&lt;100, 2,
     F38&lt;120, 2.5,
     TRUE, 3)</f>
        <v>1</v>
      </c>
      <c r="O38" cm="1">
        <f t="array" ref="O38">_xlfn.IFS(G38&lt;50, 10,
     G38&lt;70, 15,
     G38&lt;100, 20,
     G38&lt;120, 25,
     TRUE, 30)</f>
        <v>20</v>
      </c>
      <c r="P38" cm="1">
        <f t="array" ref="P38">_xlfn.IFS(H38&lt;50, 1,
     H38&lt;70, 1.5,
     H38&lt;100, 2,
     H38&lt;120, 2.5,
     TRUE, 3)</f>
        <v>1.5</v>
      </c>
      <c r="Q38">
        <f t="shared" si="0"/>
        <v>1.5</v>
      </c>
      <c r="R38">
        <f t="shared" si="1"/>
        <v>1.5</v>
      </c>
      <c r="S38">
        <v>20</v>
      </c>
    </row>
    <row r="39" spans="1:19" x14ac:dyDescent="0.3">
      <c r="A39" s="25">
        <v>26</v>
      </c>
      <c r="B39" s="9"/>
      <c r="C39" s="10" t="s">
        <v>34</v>
      </c>
      <c r="D39" s="11">
        <v>60</v>
      </c>
      <c r="E39" s="12">
        <v>90</v>
      </c>
      <c r="F39" s="13">
        <v>55</v>
      </c>
      <c r="G39" s="14">
        <v>100</v>
      </c>
      <c r="H39" s="15">
        <v>90</v>
      </c>
      <c r="I39" s="8">
        <v>395</v>
      </c>
      <c r="J39" s="26">
        <v>79</v>
      </c>
      <c r="L39" cm="1">
        <f t="array" ref="L39">_xlfn.IFS(D39&lt;50, 1,
     D39&lt;70, 1.5,
     D39&lt;100, 2,
     D39&lt;120, 2.5,
     TRUE, 3)</f>
        <v>1.5</v>
      </c>
      <c r="M39" cm="1">
        <f t="array" ref="M39">_xlfn.IFS(E39&lt;50, 1,
     E39&lt;70, 1.5,
     E39&lt;100, 2,
     E39&lt;120, 2.5,
     TRUE, 3)</f>
        <v>2</v>
      </c>
      <c r="N39" cm="1">
        <f t="array" ref="N39">_xlfn.IFS(F39&lt;50, 1,
     F39&lt;70, 1.5,
     F39&lt;100, 2,
     F39&lt;120, 2.5,
     TRUE, 3)</f>
        <v>1.5</v>
      </c>
      <c r="O39" cm="1">
        <f t="array" ref="O39">_xlfn.IFS(G39&lt;50, 10,
     G39&lt;70, 15,
     G39&lt;100, 20,
     G39&lt;120, 25,
     TRUE, 30)</f>
        <v>25</v>
      </c>
      <c r="P39" cm="1">
        <f t="array" ref="P39">_xlfn.IFS(H39&lt;50, 1,
     H39&lt;70, 1.5,
     H39&lt;100, 2,
     H39&lt;120, 2.5,
     TRUE, 3)</f>
        <v>2</v>
      </c>
      <c r="Q39">
        <f t="shared" si="0"/>
        <v>2</v>
      </c>
      <c r="R39">
        <f t="shared" si="1"/>
        <v>2</v>
      </c>
      <c r="S39">
        <v>25</v>
      </c>
    </row>
    <row r="40" spans="1:19" x14ac:dyDescent="0.3">
      <c r="A40" s="25">
        <v>27</v>
      </c>
      <c r="B40" s="9"/>
      <c r="C40" s="10" t="s">
        <v>35</v>
      </c>
      <c r="D40" s="11">
        <v>50</v>
      </c>
      <c r="E40" s="12">
        <v>75</v>
      </c>
      <c r="F40" s="13">
        <v>85</v>
      </c>
      <c r="G40" s="14">
        <v>40</v>
      </c>
      <c r="H40" s="15">
        <v>30</v>
      </c>
      <c r="I40" s="8">
        <v>280</v>
      </c>
      <c r="J40" s="26">
        <v>56</v>
      </c>
      <c r="L40" cm="1">
        <f t="array" ref="L40">_xlfn.IFS(D40&lt;50, 1,
     D40&lt;70, 1.5,
     D40&lt;100, 2,
     D40&lt;120, 2.5,
     TRUE, 3)</f>
        <v>1.5</v>
      </c>
      <c r="M40" cm="1">
        <f t="array" ref="M40">_xlfn.IFS(E40&lt;50, 1,
     E40&lt;70, 1.5,
     E40&lt;100, 2,
     E40&lt;120, 2.5,
     TRUE, 3)</f>
        <v>2</v>
      </c>
      <c r="N40" cm="1">
        <f t="array" ref="N40">_xlfn.IFS(F40&lt;50, 1,
     F40&lt;70, 1.5,
     F40&lt;100, 2,
     F40&lt;120, 2.5,
     TRUE, 3)</f>
        <v>2</v>
      </c>
      <c r="O40" cm="1">
        <f t="array" ref="O40">_xlfn.IFS(G40&lt;50, 10,
     G40&lt;70, 15,
     G40&lt;100, 20,
     G40&lt;120, 25,
     TRUE, 30)</f>
        <v>10</v>
      </c>
      <c r="P40" cm="1">
        <f t="array" ref="P40">_xlfn.IFS(H40&lt;50, 1,
     H40&lt;70, 1.5,
     H40&lt;100, 2,
     H40&lt;120, 2.5,
     TRUE, 3)</f>
        <v>1</v>
      </c>
      <c r="Q40">
        <f t="shared" si="0"/>
        <v>2</v>
      </c>
      <c r="R40">
        <f t="shared" si="1"/>
        <v>2</v>
      </c>
      <c r="S40">
        <v>10</v>
      </c>
    </row>
    <row r="41" spans="1:19" x14ac:dyDescent="0.3">
      <c r="A41" s="25">
        <v>28</v>
      </c>
      <c r="B41" s="9"/>
      <c r="C41" s="10" t="s">
        <v>36</v>
      </c>
      <c r="D41" s="11">
        <v>75</v>
      </c>
      <c r="E41" s="12">
        <v>100</v>
      </c>
      <c r="F41" s="13">
        <v>110</v>
      </c>
      <c r="G41" s="14">
        <v>65</v>
      </c>
      <c r="H41" s="15">
        <v>55</v>
      </c>
      <c r="I41" s="8">
        <v>405</v>
      </c>
      <c r="J41" s="26">
        <v>81</v>
      </c>
      <c r="L41" cm="1">
        <f t="array" ref="L41">_xlfn.IFS(D41&lt;50, 1,
     D41&lt;70, 1.5,
     D41&lt;100, 2,
     D41&lt;120, 2.5,
     TRUE, 3)</f>
        <v>2</v>
      </c>
      <c r="M41" cm="1">
        <f t="array" ref="M41">_xlfn.IFS(E41&lt;50, 1,
     E41&lt;70, 1.5,
     E41&lt;100, 2,
     E41&lt;120, 2.5,
     TRUE, 3)</f>
        <v>2.5</v>
      </c>
      <c r="N41" cm="1">
        <f t="array" ref="N41">_xlfn.IFS(F41&lt;50, 1,
     F41&lt;70, 1.5,
     F41&lt;100, 2,
     F41&lt;120, 2.5,
     TRUE, 3)</f>
        <v>2.5</v>
      </c>
      <c r="O41" cm="1">
        <f t="array" ref="O41">_xlfn.IFS(G41&lt;50, 10,
     G41&lt;70, 15,
     G41&lt;100, 20,
     G41&lt;120, 25,
     TRUE, 30)</f>
        <v>15</v>
      </c>
      <c r="P41" cm="1">
        <f t="array" ref="P41">_xlfn.IFS(H41&lt;50, 1,
     H41&lt;70, 1.5,
     H41&lt;100, 2,
     H41&lt;120, 2.5,
     TRUE, 3)</f>
        <v>1.5</v>
      </c>
      <c r="Q41">
        <f t="shared" si="0"/>
        <v>2.5</v>
      </c>
      <c r="R41">
        <f t="shared" si="1"/>
        <v>2.5</v>
      </c>
      <c r="S41">
        <v>15</v>
      </c>
    </row>
    <row r="42" spans="1:19" x14ac:dyDescent="0.3">
      <c r="A42" s="25">
        <v>29</v>
      </c>
      <c r="B42" s="9"/>
      <c r="C42" s="10" t="s">
        <v>37</v>
      </c>
      <c r="D42" s="11">
        <v>55</v>
      </c>
      <c r="E42" s="12">
        <v>47</v>
      </c>
      <c r="F42" s="13">
        <v>52</v>
      </c>
      <c r="G42" s="14">
        <v>41</v>
      </c>
      <c r="H42" s="15">
        <v>40</v>
      </c>
      <c r="I42" s="8">
        <v>235</v>
      </c>
      <c r="J42" s="26">
        <v>47</v>
      </c>
      <c r="L42" cm="1">
        <f t="array" ref="L42">_xlfn.IFS(D42&lt;50, 1,
     D42&lt;70, 1.5,
     D42&lt;100, 2,
     D42&lt;120, 2.5,
     TRUE, 3)</f>
        <v>1.5</v>
      </c>
      <c r="M42" cm="1">
        <f t="array" ref="M42">_xlfn.IFS(E42&lt;50, 1,
     E42&lt;70, 1.5,
     E42&lt;100, 2,
     E42&lt;120, 2.5,
     TRUE, 3)</f>
        <v>1</v>
      </c>
      <c r="N42" cm="1">
        <f t="array" ref="N42">_xlfn.IFS(F42&lt;50, 1,
     F42&lt;70, 1.5,
     F42&lt;100, 2,
     F42&lt;120, 2.5,
     TRUE, 3)</f>
        <v>1.5</v>
      </c>
      <c r="O42" cm="1">
        <f t="array" ref="O42">_xlfn.IFS(G42&lt;50, 10,
     G42&lt;70, 15,
     G42&lt;100, 20,
     G42&lt;120, 25,
     TRUE, 30)</f>
        <v>10</v>
      </c>
      <c r="P42" cm="1">
        <f t="array" ref="P42">_xlfn.IFS(H42&lt;50, 1,
     H42&lt;70, 1.5,
     H42&lt;100, 2,
     H42&lt;120, 2.5,
     TRUE, 3)</f>
        <v>1</v>
      </c>
      <c r="Q42">
        <f t="shared" si="0"/>
        <v>1</v>
      </c>
      <c r="R42">
        <f t="shared" si="1"/>
        <v>1.5</v>
      </c>
      <c r="S42">
        <v>10</v>
      </c>
    </row>
    <row r="43" spans="1:19" x14ac:dyDescent="0.3">
      <c r="A43" s="25">
        <v>30</v>
      </c>
      <c r="B43" s="9"/>
      <c r="C43" s="10" t="s">
        <v>38</v>
      </c>
      <c r="D43" s="11">
        <v>70</v>
      </c>
      <c r="E43" s="12">
        <v>62</v>
      </c>
      <c r="F43" s="13">
        <v>67</v>
      </c>
      <c r="G43" s="14">
        <v>56</v>
      </c>
      <c r="H43" s="15">
        <v>55</v>
      </c>
      <c r="I43" s="8">
        <v>310</v>
      </c>
      <c r="J43" s="26">
        <v>62</v>
      </c>
      <c r="L43" cm="1">
        <f t="array" ref="L43">_xlfn.IFS(D43&lt;50, 1,
     D43&lt;70, 1.5,
     D43&lt;100, 2,
     D43&lt;120, 2.5,
     TRUE, 3)</f>
        <v>2</v>
      </c>
      <c r="M43" cm="1">
        <f t="array" ref="M43">_xlfn.IFS(E43&lt;50, 1,
     E43&lt;70, 1.5,
     E43&lt;100, 2,
     E43&lt;120, 2.5,
     TRUE, 3)</f>
        <v>1.5</v>
      </c>
      <c r="N43" cm="1">
        <f t="array" ref="N43">_xlfn.IFS(F43&lt;50, 1,
     F43&lt;70, 1.5,
     F43&lt;100, 2,
     F43&lt;120, 2.5,
     TRUE, 3)</f>
        <v>1.5</v>
      </c>
      <c r="O43" cm="1">
        <f t="array" ref="O43">_xlfn.IFS(G43&lt;50, 10,
     G43&lt;70, 15,
     G43&lt;100, 20,
     G43&lt;120, 25,
     TRUE, 30)</f>
        <v>15</v>
      </c>
      <c r="P43" cm="1">
        <f t="array" ref="P43">_xlfn.IFS(H43&lt;50, 1,
     H43&lt;70, 1.5,
     H43&lt;100, 2,
     H43&lt;120, 2.5,
     TRUE, 3)</f>
        <v>1.5</v>
      </c>
      <c r="Q43">
        <f t="shared" si="0"/>
        <v>1.5</v>
      </c>
      <c r="R43">
        <f t="shared" si="1"/>
        <v>1.5</v>
      </c>
      <c r="S43">
        <v>15</v>
      </c>
    </row>
    <row r="44" spans="1:19" x14ac:dyDescent="0.3">
      <c r="A44" s="25">
        <v>31</v>
      </c>
      <c r="B44" s="9"/>
      <c r="C44" s="10" t="s">
        <v>39</v>
      </c>
      <c r="D44" s="11">
        <v>90</v>
      </c>
      <c r="E44" s="12">
        <v>82</v>
      </c>
      <c r="F44" s="13">
        <v>87</v>
      </c>
      <c r="G44" s="14">
        <v>76</v>
      </c>
      <c r="H44" s="15">
        <v>75</v>
      </c>
      <c r="I44" s="8">
        <v>410</v>
      </c>
      <c r="J44" s="26">
        <v>82</v>
      </c>
      <c r="L44" cm="1">
        <f t="array" ref="L44">_xlfn.IFS(D44&lt;50, 1,
     D44&lt;70, 1.5,
     D44&lt;100, 2,
     D44&lt;120, 2.5,
     TRUE, 3)</f>
        <v>2</v>
      </c>
      <c r="M44" cm="1">
        <f t="array" ref="M44">_xlfn.IFS(E44&lt;50, 1,
     E44&lt;70, 1.5,
     E44&lt;100, 2,
     E44&lt;120, 2.5,
     TRUE, 3)</f>
        <v>2</v>
      </c>
      <c r="N44" cm="1">
        <f t="array" ref="N44">_xlfn.IFS(F44&lt;50, 1,
     F44&lt;70, 1.5,
     F44&lt;100, 2,
     F44&lt;120, 2.5,
     TRUE, 3)</f>
        <v>2</v>
      </c>
      <c r="O44" cm="1">
        <f t="array" ref="O44">_xlfn.IFS(G44&lt;50, 10,
     G44&lt;70, 15,
     G44&lt;100, 20,
     G44&lt;120, 25,
     TRUE, 30)</f>
        <v>20</v>
      </c>
      <c r="P44" cm="1">
        <f t="array" ref="P44">_xlfn.IFS(H44&lt;50, 1,
     H44&lt;70, 1.5,
     H44&lt;100, 2,
     H44&lt;120, 2.5,
     TRUE, 3)</f>
        <v>2</v>
      </c>
      <c r="Q44">
        <f t="shared" si="0"/>
        <v>2</v>
      </c>
      <c r="R44">
        <f t="shared" si="1"/>
        <v>2</v>
      </c>
      <c r="S44">
        <v>20</v>
      </c>
    </row>
    <row r="45" spans="1:19" x14ac:dyDescent="0.3">
      <c r="A45" s="25">
        <v>32</v>
      </c>
      <c r="B45" s="9"/>
      <c r="C45" s="10" t="s">
        <v>40</v>
      </c>
      <c r="D45" s="11">
        <v>46</v>
      </c>
      <c r="E45" s="12">
        <v>57</v>
      </c>
      <c r="F45" s="13">
        <v>40</v>
      </c>
      <c r="G45" s="14">
        <v>50</v>
      </c>
      <c r="H45" s="15">
        <v>40</v>
      </c>
      <c r="I45" s="8">
        <v>233</v>
      </c>
      <c r="J45" s="26">
        <v>46.6</v>
      </c>
      <c r="L45" cm="1">
        <f t="array" ref="L45">_xlfn.IFS(D45&lt;50, 1,
     D45&lt;70, 1.5,
     D45&lt;100, 2,
     D45&lt;120, 2.5,
     TRUE, 3)</f>
        <v>1</v>
      </c>
      <c r="M45" cm="1">
        <f t="array" ref="M45">_xlfn.IFS(E45&lt;50, 1,
     E45&lt;70, 1.5,
     E45&lt;100, 2,
     E45&lt;120, 2.5,
     TRUE, 3)</f>
        <v>1.5</v>
      </c>
      <c r="N45" cm="1">
        <f t="array" ref="N45">_xlfn.IFS(F45&lt;50, 1,
     F45&lt;70, 1.5,
     F45&lt;100, 2,
     F45&lt;120, 2.5,
     TRUE, 3)</f>
        <v>1</v>
      </c>
      <c r="O45" cm="1">
        <f t="array" ref="O45">_xlfn.IFS(G45&lt;50, 10,
     G45&lt;70, 15,
     G45&lt;100, 20,
     G45&lt;120, 25,
     TRUE, 30)</f>
        <v>15</v>
      </c>
      <c r="P45" cm="1">
        <f t="array" ref="P45">_xlfn.IFS(H45&lt;50, 1,
     H45&lt;70, 1.5,
     H45&lt;100, 2,
     H45&lt;120, 2.5,
     TRUE, 3)</f>
        <v>1</v>
      </c>
      <c r="Q45">
        <f t="shared" si="0"/>
        <v>1.5</v>
      </c>
      <c r="R45">
        <f t="shared" si="1"/>
        <v>1</v>
      </c>
      <c r="S45">
        <v>15</v>
      </c>
    </row>
    <row r="46" spans="1:19" x14ac:dyDescent="0.3">
      <c r="A46" s="25">
        <v>33</v>
      </c>
      <c r="B46" s="9"/>
      <c r="C46" s="10" t="s">
        <v>41</v>
      </c>
      <c r="D46" s="11">
        <v>61</v>
      </c>
      <c r="E46" s="12">
        <v>72</v>
      </c>
      <c r="F46" s="13">
        <v>57</v>
      </c>
      <c r="G46" s="14">
        <v>65</v>
      </c>
      <c r="H46" s="15">
        <v>55</v>
      </c>
      <c r="I46" s="8">
        <v>310</v>
      </c>
      <c r="J46" s="26">
        <v>62</v>
      </c>
      <c r="L46" cm="1">
        <f t="array" ref="L46">_xlfn.IFS(D46&lt;50, 1,
     D46&lt;70, 1.5,
     D46&lt;100, 2,
     D46&lt;120, 2.5,
     TRUE, 3)</f>
        <v>1.5</v>
      </c>
      <c r="M46" cm="1">
        <f t="array" ref="M46">_xlfn.IFS(E46&lt;50, 1,
     E46&lt;70, 1.5,
     E46&lt;100, 2,
     E46&lt;120, 2.5,
     TRUE, 3)</f>
        <v>2</v>
      </c>
      <c r="N46" cm="1">
        <f t="array" ref="N46">_xlfn.IFS(F46&lt;50, 1,
     F46&lt;70, 1.5,
     F46&lt;100, 2,
     F46&lt;120, 2.5,
     TRUE, 3)</f>
        <v>1.5</v>
      </c>
      <c r="O46" cm="1">
        <f t="array" ref="O46">_xlfn.IFS(G46&lt;50, 10,
     G46&lt;70, 15,
     G46&lt;100, 20,
     G46&lt;120, 25,
     TRUE, 30)</f>
        <v>15</v>
      </c>
      <c r="P46" cm="1">
        <f t="array" ref="P46">_xlfn.IFS(H46&lt;50, 1,
     H46&lt;70, 1.5,
     H46&lt;100, 2,
     H46&lt;120, 2.5,
     TRUE, 3)</f>
        <v>1.5</v>
      </c>
      <c r="Q46">
        <f t="shared" si="0"/>
        <v>2</v>
      </c>
      <c r="R46">
        <f t="shared" si="1"/>
        <v>1.5</v>
      </c>
      <c r="S46">
        <v>15</v>
      </c>
    </row>
    <row r="47" spans="1:19" x14ac:dyDescent="0.3">
      <c r="A47" s="25">
        <v>34</v>
      </c>
      <c r="B47" s="9"/>
      <c r="C47" s="10" t="s">
        <v>42</v>
      </c>
      <c r="D47" s="11">
        <v>81</v>
      </c>
      <c r="E47" s="12">
        <v>92</v>
      </c>
      <c r="F47" s="13">
        <v>77</v>
      </c>
      <c r="G47" s="14">
        <v>85</v>
      </c>
      <c r="H47" s="15">
        <v>75</v>
      </c>
      <c r="I47" s="8">
        <v>410</v>
      </c>
      <c r="J47" s="26">
        <v>82</v>
      </c>
      <c r="L47" cm="1">
        <f t="array" ref="L47">_xlfn.IFS(D47&lt;50, 1,
     D47&lt;70, 1.5,
     D47&lt;100, 2,
     D47&lt;120, 2.5,
     TRUE, 3)</f>
        <v>2</v>
      </c>
      <c r="M47" cm="1">
        <f t="array" ref="M47">_xlfn.IFS(E47&lt;50, 1,
     E47&lt;70, 1.5,
     E47&lt;100, 2,
     E47&lt;120, 2.5,
     TRUE, 3)</f>
        <v>2</v>
      </c>
      <c r="N47" cm="1">
        <f t="array" ref="N47">_xlfn.IFS(F47&lt;50, 1,
     F47&lt;70, 1.5,
     F47&lt;100, 2,
     F47&lt;120, 2.5,
     TRUE, 3)</f>
        <v>2</v>
      </c>
      <c r="O47" cm="1">
        <f t="array" ref="O47">_xlfn.IFS(G47&lt;50, 10,
     G47&lt;70, 15,
     G47&lt;100, 20,
     G47&lt;120, 25,
     TRUE, 30)</f>
        <v>20</v>
      </c>
      <c r="P47" cm="1">
        <f t="array" ref="P47">_xlfn.IFS(H47&lt;50, 1,
     H47&lt;70, 1.5,
     H47&lt;100, 2,
     H47&lt;120, 2.5,
     TRUE, 3)</f>
        <v>2</v>
      </c>
      <c r="Q47">
        <f t="shared" si="0"/>
        <v>2</v>
      </c>
      <c r="R47">
        <f t="shared" si="1"/>
        <v>2</v>
      </c>
      <c r="S47">
        <v>20</v>
      </c>
    </row>
    <row r="48" spans="1:19" x14ac:dyDescent="0.3">
      <c r="A48" s="25">
        <v>35</v>
      </c>
      <c r="B48" s="9"/>
      <c r="C48" s="10" t="s">
        <v>43</v>
      </c>
      <c r="D48" s="11">
        <v>70</v>
      </c>
      <c r="E48" s="12">
        <v>45</v>
      </c>
      <c r="F48" s="13">
        <v>48</v>
      </c>
      <c r="G48" s="14">
        <v>35</v>
      </c>
      <c r="H48" s="15">
        <v>60</v>
      </c>
      <c r="I48" s="8">
        <v>258</v>
      </c>
      <c r="J48" s="26">
        <v>51.6</v>
      </c>
      <c r="L48" cm="1">
        <f t="array" ref="L48">_xlfn.IFS(D48&lt;50, 1,
     D48&lt;70, 1.5,
     D48&lt;100, 2,
     D48&lt;120, 2.5,
     TRUE, 3)</f>
        <v>2</v>
      </c>
      <c r="M48" cm="1">
        <f t="array" ref="M48">_xlfn.IFS(E48&lt;50, 1,
     E48&lt;70, 1.5,
     E48&lt;100, 2,
     E48&lt;120, 2.5,
     TRUE, 3)</f>
        <v>1</v>
      </c>
      <c r="N48" cm="1">
        <f t="array" ref="N48">_xlfn.IFS(F48&lt;50, 1,
     F48&lt;70, 1.5,
     F48&lt;100, 2,
     F48&lt;120, 2.5,
     TRUE, 3)</f>
        <v>1</v>
      </c>
      <c r="O48" cm="1">
        <f t="array" ref="O48">_xlfn.IFS(G48&lt;50, 10,
     G48&lt;70, 15,
     G48&lt;100, 20,
     G48&lt;120, 25,
     TRUE, 30)</f>
        <v>10</v>
      </c>
      <c r="P48" cm="1">
        <f t="array" ref="P48">_xlfn.IFS(H48&lt;50, 1,
     H48&lt;70, 1.5,
     H48&lt;100, 2,
     H48&lt;120, 2.5,
     TRUE, 3)</f>
        <v>1.5</v>
      </c>
      <c r="Q48">
        <f t="shared" si="0"/>
        <v>1.5</v>
      </c>
      <c r="R48">
        <f t="shared" si="1"/>
        <v>1.5</v>
      </c>
      <c r="S48">
        <v>10</v>
      </c>
    </row>
    <row r="49" spans="1:19" x14ac:dyDescent="0.3">
      <c r="A49" s="25">
        <v>36</v>
      </c>
      <c r="B49" s="9"/>
      <c r="C49" s="10" t="s">
        <v>44</v>
      </c>
      <c r="D49" s="11">
        <v>95</v>
      </c>
      <c r="E49" s="12">
        <v>70</v>
      </c>
      <c r="F49" s="13">
        <v>73</v>
      </c>
      <c r="G49" s="14">
        <v>60</v>
      </c>
      <c r="H49" s="15">
        <v>85</v>
      </c>
      <c r="I49" s="8">
        <v>383</v>
      </c>
      <c r="J49" s="26">
        <v>76.599999999999994</v>
      </c>
      <c r="L49" cm="1">
        <f t="array" ref="L49">_xlfn.IFS(D49&lt;50, 1,
     D49&lt;70, 1.5,
     D49&lt;100, 2,
     D49&lt;120, 2.5,
     TRUE, 3)</f>
        <v>2</v>
      </c>
      <c r="M49" cm="1">
        <f t="array" ref="M49">_xlfn.IFS(E49&lt;50, 1,
     E49&lt;70, 1.5,
     E49&lt;100, 2,
     E49&lt;120, 2.5,
     TRUE, 3)</f>
        <v>2</v>
      </c>
      <c r="N49" cm="1">
        <f t="array" ref="N49">_xlfn.IFS(F49&lt;50, 1,
     F49&lt;70, 1.5,
     F49&lt;100, 2,
     F49&lt;120, 2.5,
     TRUE, 3)</f>
        <v>2</v>
      </c>
      <c r="O49" cm="1">
        <f t="array" ref="O49">_xlfn.IFS(G49&lt;50, 10,
     G49&lt;70, 15,
     G49&lt;100, 20,
     G49&lt;120, 25,
     TRUE, 30)</f>
        <v>15</v>
      </c>
      <c r="P49" cm="1">
        <f t="array" ref="P49">_xlfn.IFS(H49&lt;50, 1,
     H49&lt;70, 1.5,
     H49&lt;100, 2,
     H49&lt;120, 2.5,
     TRUE, 3)</f>
        <v>2</v>
      </c>
      <c r="Q49">
        <f t="shared" si="0"/>
        <v>2</v>
      </c>
      <c r="R49">
        <f t="shared" si="1"/>
        <v>2</v>
      </c>
      <c r="S49">
        <v>15</v>
      </c>
    </row>
    <row r="50" spans="1:19" x14ac:dyDescent="0.3">
      <c r="A50" s="25">
        <v>37</v>
      </c>
      <c r="B50" s="9"/>
      <c r="C50" s="10" t="s">
        <v>45</v>
      </c>
      <c r="D50" s="11">
        <v>38</v>
      </c>
      <c r="E50" s="12">
        <v>41</v>
      </c>
      <c r="F50" s="13">
        <v>40</v>
      </c>
      <c r="G50" s="14">
        <v>65</v>
      </c>
      <c r="H50" s="15">
        <v>65</v>
      </c>
      <c r="I50" s="8">
        <v>249</v>
      </c>
      <c r="J50" s="26">
        <v>49.8</v>
      </c>
      <c r="L50" cm="1">
        <f t="array" ref="L50">_xlfn.IFS(D50&lt;50, 1,
     D50&lt;70, 1.5,
     D50&lt;100, 2,
     D50&lt;120, 2.5,
     TRUE, 3)</f>
        <v>1</v>
      </c>
      <c r="M50" cm="1">
        <f t="array" ref="M50">_xlfn.IFS(E50&lt;50, 1,
     E50&lt;70, 1.5,
     E50&lt;100, 2,
     E50&lt;120, 2.5,
     TRUE, 3)</f>
        <v>1</v>
      </c>
      <c r="N50" cm="1">
        <f t="array" ref="N50">_xlfn.IFS(F50&lt;50, 1,
     F50&lt;70, 1.5,
     F50&lt;100, 2,
     F50&lt;120, 2.5,
     TRUE, 3)</f>
        <v>1</v>
      </c>
      <c r="O50" cm="1">
        <f t="array" ref="O50">_xlfn.IFS(G50&lt;50, 10,
     G50&lt;70, 15,
     G50&lt;100, 20,
     G50&lt;120, 25,
     TRUE, 30)</f>
        <v>15</v>
      </c>
      <c r="P50" cm="1">
        <f t="array" ref="P50">_xlfn.IFS(H50&lt;50, 1,
     H50&lt;70, 1.5,
     H50&lt;100, 2,
     H50&lt;120, 2.5,
     TRUE, 3)</f>
        <v>1.5</v>
      </c>
      <c r="Q50">
        <f t="shared" si="0"/>
        <v>1.5</v>
      </c>
      <c r="R50">
        <f t="shared" si="1"/>
        <v>1.5</v>
      </c>
      <c r="S50">
        <v>15</v>
      </c>
    </row>
    <row r="51" spans="1:19" x14ac:dyDescent="0.3">
      <c r="A51" s="25">
        <v>38</v>
      </c>
      <c r="B51" s="9"/>
      <c r="C51" s="10" t="s">
        <v>46</v>
      </c>
      <c r="D51" s="11">
        <v>73</v>
      </c>
      <c r="E51" s="12">
        <v>76</v>
      </c>
      <c r="F51" s="13">
        <v>75</v>
      </c>
      <c r="G51" s="14">
        <v>100</v>
      </c>
      <c r="H51" s="15">
        <v>100</v>
      </c>
      <c r="I51" s="8">
        <v>424</v>
      </c>
      <c r="J51" s="26">
        <v>84.8</v>
      </c>
      <c r="L51" cm="1">
        <f t="array" ref="L51">_xlfn.IFS(D51&lt;50, 1,
     D51&lt;70, 1.5,
     D51&lt;100, 2,
     D51&lt;120, 2.5,
     TRUE, 3)</f>
        <v>2</v>
      </c>
      <c r="M51" cm="1">
        <f t="array" ref="M51">_xlfn.IFS(E51&lt;50, 1,
     E51&lt;70, 1.5,
     E51&lt;100, 2,
     E51&lt;120, 2.5,
     TRUE, 3)</f>
        <v>2</v>
      </c>
      <c r="N51" cm="1">
        <f t="array" ref="N51">_xlfn.IFS(F51&lt;50, 1,
     F51&lt;70, 1.5,
     F51&lt;100, 2,
     F51&lt;120, 2.5,
     TRUE, 3)</f>
        <v>2</v>
      </c>
      <c r="O51" cm="1">
        <f t="array" ref="O51">_xlfn.IFS(G51&lt;50, 10,
     G51&lt;70, 15,
     G51&lt;100, 20,
     G51&lt;120, 25,
     TRUE, 30)</f>
        <v>25</v>
      </c>
      <c r="P51" cm="1">
        <f t="array" ref="P51">_xlfn.IFS(H51&lt;50, 1,
     H51&lt;70, 1.5,
     H51&lt;100, 2,
     H51&lt;120, 2.5,
     TRUE, 3)</f>
        <v>2.5</v>
      </c>
      <c r="Q51">
        <f t="shared" si="0"/>
        <v>2.5</v>
      </c>
      <c r="R51">
        <f t="shared" si="1"/>
        <v>2.5</v>
      </c>
      <c r="S51">
        <v>25</v>
      </c>
    </row>
    <row r="52" spans="1:19" x14ac:dyDescent="0.3">
      <c r="A52" s="25">
        <v>39</v>
      </c>
      <c r="B52" s="9"/>
      <c r="C52" s="10" t="s">
        <v>47</v>
      </c>
      <c r="D52" s="11">
        <v>115</v>
      </c>
      <c r="E52" s="12">
        <v>45</v>
      </c>
      <c r="F52" s="13">
        <v>20</v>
      </c>
      <c r="G52" s="14">
        <v>20</v>
      </c>
      <c r="H52" s="15">
        <v>25</v>
      </c>
      <c r="I52" s="8">
        <v>225</v>
      </c>
      <c r="J52" s="26">
        <v>45</v>
      </c>
      <c r="L52" cm="1">
        <f t="array" ref="L52">_xlfn.IFS(D52&lt;50, 1,
     D52&lt;70, 1.5,
     D52&lt;100, 2,
     D52&lt;120, 2.5,
     TRUE, 3)</f>
        <v>2.5</v>
      </c>
      <c r="M52" cm="1">
        <f t="array" ref="M52">_xlfn.IFS(E52&lt;50, 1,
     E52&lt;70, 1.5,
     E52&lt;100, 2,
     E52&lt;120, 2.5,
     TRUE, 3)</f>
        <v>1</v>
      </c>
      <c r="N52" cm="1">
        <f t="array" ref="N52">_xlfn.IFS(F52&lt;50, 1,
     F52&lt;70, 1.5,
     F52&lt;100, 2,
     F52&lt;120, 2.5,
     TRUE, 3)</f>
        <v>1</v>
      </c>
      <c r="O52" cm="1">
        <f t="array" ref="O52">_xlfn.IFS(G52&lt;50, 10,
     G52&lt;70, 15,
     G52&lt;100, 20,
     G52&lt;120, 25,
     TRUE, 30)</f>
        <v>10</v>
      </c>
      <c r="P52" cm="1">
        <f t="array" ref="P52">_xlfn.IFS(H52&lt;50, 1,
     H52&lt;70, 1.5,
     H52&lt;100, 2,
     H52&lt;120, 2.5,
     TRUE, 3)</f>
        <v>1</v>
      </c>
      <c r="Q52">
        <f t="shared" si="0"/>
        <v>1</v>
      </c>
      <c r="R52">
        <f t="shared" si="1"/>
        <v>1</v>
      </c>
      <c r="S52">
        <v>10</v>
      </c>
    </row>
    <row r="53" spans="1:19" x14ac:dyDescent="0.3">
      <c r="A53" s="25">
        <v>40</v>
      </c>
      <c r="B53" s="9"/>
      <c r="C53" s="10" t="s">
        <v>48</v>
      </c>
      <c r="D53" s="11">
        <v>140</v>
      </c>
      <c r="E53" s="12">
        <v>70</v>
      </c>
      <c r="F53" s="13">
        <v>45</v>
      </c>
      <c r="G53" s="14">
        <v>45</v>
      </c>
      <c r="H53" s="15">
        <v>50</v>
      </c>
      <c r="I53" s="8">
        <v>350</v>
      </c>
      <c r="J53" s="26">
        <v>70</v>
      </c>
      <c r="L53" cm="1">
        <f t="array" ref="L53">_xlfn.IFS(D53&lt;50, 1,
     D53&lt;70, 1.5,
     D53&lt;100, 2,
     D53&lt;120, 2.5,
     TRUE, 3)</f>
        <v>3</v>
      </c>
      <c r="M53" cm="1">
        <f t="array" ref="M53">_xlfn.IFS(E53&lt;50, 1,
     E53&lt;70, 1.5,
     E53&lt;100, 2,
     E53&lt;120, 2.5,
     TRUE, 3)</f>
        <v>2</v>
      </c>
      <c r="N53" cm="1">
        <f t="array" ref="N53">_xlfn.IFS(F53&lt;50, 1,
     F53&lt;70, 1.5,
     F53&lt;100, 2,
     F53&lt;120, 2.5,
     TRUE, 3)</f>
        <v>1</v>
      </c>
      <c r="O53" cm="1">
        <f t="array" ref="O53">_xlfn.IFS(G53&lt;50, 10,
     G53&lt;70, 15,
     G53&lt;100, 20,
     G53&lt;120, 25,
     TRUE, 30)</f>
        <v>10</v>
      </c>
      <c r="P53" cm="1">
        <f t="array" ref="P53">_xlfn.IFS(H53&lt;50, 1,
     H53&lt;70, 1.5,
     H53&lt;100, 2,
     H53&lt;120, 2.5,
     TRUE, 3)</f>
        <v>1.5</v>
      </c>
      <c r="Q53">
        <f t="shared" si="0"/>
        <v>2</v>
      </c>
      <c r="R53">
        <f t="shared" si="1"/>
        <v>1.5</v>
      </c>
      <c r="S53">
        <v>10</v>
      </c>
    </row>
    <row r="54" spans="1:19" x14ac:dyDescent="0.3">
      <c r="A54" s="25">
        <v>41</v>
      </c>
      <c r="B54" s="9"/>
      <c r="C54" s="10" t="s">
        <v>49</v>
      </c>
      <c r="D54" s="11">
        <v>40</v>
      </c>
      <c r="E54" s="12">
        <v>45</v>
      </c>
      <c r="F54" s="13">
        <v>35</v>
      </c>
      <c r="G54" s="14">
        <v>55</v>
      </c>
      <c r="H54" s="15">
        <v>40</v>
      </c>
      <c r="I54" s="8">
        <v>215</v>
      </c>
      <c r="J54" s="26">
        <v>43</v>
      </c>
      <c r="L54" cm="1">
        <f t="array" ref="L54">_xlfn.IFS(D54&lt;50, 1,
     D54&lt;70, 1.5,
     D54&lt;100, 2,
     D54&lt;120, 2.5,
     TRUE, 3)</f>
        <v>1</v>
      </c>
      <c r="M54" cm="1">
        <f t="array" ref="M54">_xlfn.IFS(E54&lt;50, 1,
     E54&lt;70, 1.5,
     E54&lt;100, 2,
     E54&lt;120, 2.5,
     TRUE, 3)</f>
        <v>1</v>
      </c>
      <c r="N54" cm="1">
        <f t="array" ref="N54">_xlfn.IFS(F54&lt;50, 1,
     F54&lt;70, 1.5,
     F54&lt;100, 2,
     F54&lt;120, 2.5,
     TRUE, 3)</f>
        <v>1</v>
      </c>
      <c r="O54" cm="1">
        <f t="array" ref="O54">_xlfn.IFS(G54&lt;50, 10,
     G54&lt;70, 15,
     G54&lt;100, 20,
     G54&lt;120, 25,
     TRUE, 30)</f>
        <v>15</v>
      </c>
      <c r="P54" cm="1">
        <f t="array" ref="P54">_xlfn.IFS(H54&lt;50, 1,
     H54&lt;70, 1.5,
     H54&lt;100, 2,
     H54&lt;120, 2.5,
     TRUE, 3)</f>
        <v>1</v>
      </c>
      <c r="Q54">
        <f t="shared" si="0"/>
        <v>1</v>
      </c>
      <c r="R54">
        <f t="shared" si="1"/>
        <v>1</v>
      </c>
      <c r="S54">
        <v>15</v>
      </c>
    </row>
    <row r="55" spans="1:19" x14ac:dyDescent="0.3">
      <c r="A55" s="25">
        <v>42</v>
      </c>
      <c r="B55" s="9"/>
      <c r="C55" s="10" t="s">
        <v>50</v>
      </c>
      <c r="D55" s="11">
        <v>75</v>
      </c>
      <c r="E55" s="12">
        <v>80</v>
      </c>
      <c r="F55" s="13">
        <v>70</v>
      </c>
      <c r="G55" s="14">
        <v>90</v>
      </c>
      <c r="H55" s="15">
        <v>75</v>
      </c>
      <c r="I55" s="8">
        <v>390</v>
      </c>
      <c r="J55" s="26">
        <v>78</v>
      </c>
      <c r="L55" cm="1">
        <f t="array" ref="L55">_xlfn.IFS(D55&lt;50, 1,
     D55&lt;70, 1.5,
     D55&lt;100, 2,
     D55&lt;120, 2.5,
     TRUE, 3)</f>
        <v>2</v>
      </c>
      <c r="M55" cm="1">
        <f t="array" ref="M55">_xlfn.IFS(E55&lt;50, 1,
     E55&lt;70, 1.5,
     E55&lt;100, 2,
     E55&lt;120, 2.5,
     TRUE, 3)</f>
        <v>2</v>
      </c>
      <c r="N55" cm="1">
        <f t="array" ref="N55">_xlfn.IFS(F55&lt;50, 1,
     F55&lt;70, 1.5,
     F55&lt;100, 2,
     F55&lt;120, 2.5,
     TRUE, 3)</f>
        <v>2</v>
      </c>
      <c r="O55" cm="1">
        <f t="array" ref="O55">_xlfn.IFS(G55&lt;50, 10,
     G55&lt;70, 15,
     G55&lt;100, 20,
     G55&lt;120, 25,
     TRUE, 30)</f>
        <v>20</v>
      </c>
      <c r="P55" cm="1">
        <f t="array" ref="P55">_xlfn.IFS(H55&lt;50, 1,
     H55&lt;70, 1.5,
     H55&lt;100, 2,
     H55&lt;120, 2.5,
     TRUE, 3)</f>
        <v>2</v>
      </c>
      <c r="Q55">
        <f t="shared" si="0"/>
        <v>2</v>
      </c>
      <c r="R55">
        <f t="shared" si="1"/>
        <v>2</v>
      </c>
      <c r="S55">
        <v>20</v>
      </c>
    </row>
    <row r="56" spans="1:19" x14ac:dyDescent="0.3">
      <c r="A56" s="25">
        <v>43</v>
      </c>
      <c r="B56" s="9"/>
      <c r="C56" s="10" t="s">
        <v>51</v>
      </c>
      <c r="D56" s="11">
        <v>45</v>
      </c>
      <c r="E56" s="12">
        <v>50</v>
      </c>
      <c r="F56" s="13">
        <v>55</v>
      </c>
      <c r="G56" s="14">
        <v>30</v>
      </c>
      <c r="H56" s="15">
        <v>75</v>
      </c>
      <c r="I56" s="8">
        <v>255</v>
      </c>
      <c r="J56" s="26">
        <v>51</v>
      </c>
      <c r="L56" cm="1">
        <f t="array" ref="L56">_xlfn.IFS(D56&lt;50, 1,
     D56&lt;70, 1.5,
     D56&lt;100, 2,
     D56&lt;120, 2.5,
     TRUE, 3)</f>
        <v>1</v>
      </c>
      <c r="M56" cm="1">
        <f t="array" ref="M56">_xlfn.IFS(E56&lt;50, 1,
     E56&lt;70, 1.5,
     E56&lt;100, 2,
     E56&lt;120, 2.5,
     TRUE, 3)</f>
        <v>1.5</v>
      </c>
      <c r="N56" cm="1">
        <f t="array" ref="N56">_xlfn.IFS(F56&lt;50, 1,
     F56&lt;70, 1.5,
     F56&lt;100, 2,
     F56&lt;120, 2.5,
     TRUE, 3)</f>
        <v>1.5</v>
      </c>
      <c r="O56" cm="1">
        <f t="array" ref="O56">_xlfn.IFS(G56&lt;50, 10,
     G56&lt;70, 15,
     G56&lt;100, 20,
     G56&lt;120, 25,
     TRUE, 30)</f>
        <v>10</v>
      </c>
      <c r="P56" cm="1">
        <f t="array" ref="P56">_xlfn.IFS(H56&lt;50, 1,
     H56&lt;70, 1.5,
     H56&lt;100, 2,
     H56&lt;120, 2.5,
     TRUE, 3)</f>
        <v>2</v>
      </c>
      <c r="Q56">
        <f t="shared" si="0"/>
        <v>2</v>
      </c>
      <c r="R56">
        <f t="shared" si="1"/>
        <v>2</v>
      </c>
      <c r="S56">
        <v>10</v>
      </c>
    </row>
    <row r="57" spans="1:19" x14ac:dyDescent="0.3">
      <c r="A57" s="25">
        <v>44</v>
      </c>
      <c r="B57" s="9"/>
      <c r="C57" s="10" t="s">
        <v>52</v>
      </c>
      <c r="D57" s="11">
        <v>60</v>
      </c>
      <c r="E57" s="12">
        <v>65</v>
      </c>
      <c r="F57" s="13">
        <v>70</v>
      </c>
      <c r="G57" s="14">
        <v>40</v>
      </c>
      <c r="H57" s="15">
        <v>85</v>
      </c>
      <c r="I57" s="8">
        <v>320</v>
      </c>
      <c r="J57" s="26">
        <v>64</v>
      </c>
      <c r="L57" cm="1">
        <f t="array" ref="L57">_xlfn.IFS(D57&lt;50, 1,
     D57&lt;70, 1.5,
     D57&lt;100, 2,
     D57&lt;120, 2.5,
     TRUE, 3)</f>
        <v>1.5</v>
      </c>
      <c r="M57" cm="1">
        <f t="array" ref="M57">_xlfn.IFS(E57&lt;50, 1,
     E57&lt;70, 1.5,
     E57&lt;100, 2,
     E57&lt;120, 2.5,
     TRUE, 3)</f>
        <v>1.5</v>
      </c>
      <c r="N57" cm="1">
        <f t="array" ref="N57">_xlfn.IFS(F57&lt;50, 1,
     F57&lt;70, 1.5,
     F57&lt;100, 2,
     F57&lt;120, 2.5,
     TRUE, 3)</f>
        <v>2</v>
      </c>
      <c r="O57" cm="1">
        <f t="array" ref="O57">_xlfn.IFS(G57&lt;50, 10,
     G57&lt;70, 15,
     G57&lt;100, 20,
     G57&lt;120, 25,
     TRUE, 30)</f>
        <v>10</v>
      </c>
      <c r="P57" cm="1">
        <f t="array" ref="P57">_xlfn.IFS(H57&lt;50, 1,
     H57&lt;70, 1.5,
     H57&lt;100, 2,
     H57&lt;120, 2.5,
     TRUE, 3)</f>
        <v>2</v>
      </c>
      <c r="Q57">
        <f t="shared" si="0"/>
        <v>2</v>
      </c>
      <c r="R57">
        <f t="shared" si="1"/>
        <v>2</v>
      </c>
      <c r="S57">
        <v>10</v>
      </c>
    </row>
    <row r="58" spans="1:19" ht="33" x14ac:dyDescent="0.3">
      <c r="A58" s="25">
        <v>45</v>
      </c>
      <c r="B58" s="9"/>
      <c r="C58" s="10" t="s">
        <v>53</v>
      </c>
      <c r="D58" s="11">
        <v>75</v>
      </c>
      <c r="E58" s="12">
        <v>80</v>
      </c>
      <c r="F58" s="13">
        <v>85</v>
      </c>
      <c r="G58" s="14">
        <v>50</v>
      </c>
      <c r="H58" s="15">
        <v>100</v>
      </c>
      <c r="I58" s="8">
        <v>390</v>
      </c>
      <c r="J58" s="26">
        <v>78</v>
      </c>
      <c r="L58" cm="1">
        <f t="array" ref="L58">_xlfn.IFS(D58&lt;50, 1,
     D58&lt;70, 1.5,
     D58&lt;100, 2,
     D58&lt;120, 2.5,
     TRUE, 3)</f>
        <v>2</v>
      </c>
      <c r="M58" cm="1">
        <f t="array" ref="M58">_xlfn.IFS(E58&lt;50, 1,
     E58&lt;70, 1.5,
     E58&lt;100, 2,
     E58&lt;120, 2.5,
     TRUE, 3)</f>
        <v>2</v>
      </c>
      <c r="N58" cm="1">
        <f t="array" ref="N58">_xlfn.IFS(F58&lt;50, 1,
     F58&lt;70, 1.5,
     F58&lt;100, 2,
     F58&lt;120, 2.5,
     TRUE, 3)</f>
        <v>2</v>
      </c>
      <c r="O58" cm="1">
        <f t="array" ref="O58">_xlfn.IFS(G58&lt;50, 10,
     G58&lt;70, 15,
     G58&lt;100, 20,
     G58&lt;120, 25,
     TRUE, 30)</f>
        <v>15</v>
      </c>
      <c r="P58" cm="1">
        <f t="array" ref="P58">_xlfn.IFS(H58&lt;50, 1,
     H58&lt;70, 1.5,
     H58&lt;100, 2,
     H58&lt;120, 2.5,
     TRUE, 3)</f>
        <v>2.5</v>
      </c>
      <c r="Q58">
        <f t="shared" si="0"/>
        <v>2.5</v>
      </c>
      <c r="R58">
        <f t="shared" si="1"/>
        <v>2.5</v>
      </c>
      <c r="S58">
        <v>15</v>
      </c>
    </row>
    <row r="59" spans="1:19" x14ac:dyDescent="0.3">
      <c r="A59" s="25">
        <v>46</v>
      </c>
      <c r="B59" s="9"/>
      <c r="C59" s="10" t="s">
        <v>54</v>
      </c>
      <c r="D59" s="11">
        <v>35</v>
      </c>
      <c r="E59" s="12">
        <v>70</v>
      </c>
      <c r="F59" s="13">
        <v>55</v>
      </c>
      <c r="G59" s="14">
        <v>25</v>
      </c>
      <c r="H59" s="15">
        <v>55</v>
      </c>
      <c r="I59" s="8">
        <v>240</v>
      </c>
      <c r="J59" s="26">
        <v>48</v>
      </c>
      <c r="L59" cm="1">
        <f t="array" ref="L59">_xlfn.IFS(D59&lt;50, 1,
     D59&lt;70, 1.5,
     D59&lt;100, 2,
     D59&lt;120, 2.5,
     TRUE, 3)</f>
        <v>1</v>
      </c>
      <c r="M59" cm="1">
        <f t="array" ref="M59">_xlfn.IFS(E59&lt;50, 1,
     E59&lt;70, 1.5,
     E59&lt;100, 2,
     E59&lt;120, 2.5,
     TRUE, 3)</f>
        <v>2</v>
      </c>
      <c r="N59" cm="1">
        <f t="array" ref="N59">_xlfn.IFS(F59&lt;50, 1,
     F59&lt;70, 1.5,
     F59&lt;100, 2,
     F59&lt;120, 2.5,
     TRUE, 3)</f>
        <v>1.5</v>
      </c>
      <c r="O59" cm="1">
        <f t="array" ref="O59">_xlfn.IFS(G59&lt;50, 10,
     G59&lt;70, 15,
     G59&lt;100, 20,
     G59&lt;120, 25,
     TRUE, 30)</f>
        <v>10</v>
      </c>
      <c r="P59" cm="1">
        <f t="array" ref="P59">_xlfn.IFS(H59&lt;50, 1,
     H59&lt;70, 1.5,
     H59&lt;100, 2,
     H59&lt;120, 2.5,
     TRUE, 3)</f>
        <v>1.5</v>
      </c>
      <c r="Q59">
        <f t="shared" si="0"/>
        <v>2</v>
      </c>
      <c r="R59">
        <f t="shared" si="1"/>
        <v>1.5</v>
      </c>
      <c r="S59">
        <v>10</v>
      </c>
    </row>
    <row r="60" spans="1:19" x14ac:dyDescent="0.3">
      <c r="A60" s="25">
        <v>47</v>
      </c>
      <c r="B60" s="9"/>
      <c r="C60" s="10" t="s">
        <v>55</v>
      </c>
      <c r="D60" s="11">
        <v>60</v>
      </c>
      <c r="E60" s="12">
        <v>95</v>
      </c>
      <c r="F60" s="13">
        <v>80</v>
      </c>
      <c r="G60" s="14">
        <v>30</v>
      </c>
      <c r="H60" s="15">
        <v>80</v>
      </c>
      <c r="I60" s="8">
        <v>345</v>
      </c>
      <c r="J60" s="26">
        <v>69</v>
      </c>
      <c r="L60" cm="1">
        <f t="array" ref="L60">_xlfn.IFS(D60&lt;50, 1,
     D60&lt;70, 1.5,
     D60&lt;100, 2,
     D60&lt;120, 2.5,
     TRUE, 3)</f>
        <v>1.5</v>
      </c>
      <c r="M60" cm="1">
        <f t="array" ref="M60">_xlfn.IFS(E60&lt;50, 1,
     E60&lt;70, 1.5,
     E60&lt;100, 2,
     E60&lt;120, 2.5,
     TRUE, 3)</f>
        <v>2</v>
      </c>
      <c r="N60" cm="1">
        <f t="array" ref="N60">_xlfn.IFS(F60&lt;50, 1,
     F60&lt;70, 1.5,
     F60&lt;100, 2,
     F60&lt;120, 2.5,
     TRUE, 3)</f>
        <v>2</v>
      </c>
      <c r="O60" cm="1">
        <f t="array" ref="O60">_xlfn.IFS(G60&lt;50, 10,
     G60&lt;70, 15,
     G60&lt;100, 20,
     G60&lt;120, 25,
     TRUE, 30)</f>
        <v>10</v>
      </c>
      <c r="P60" cm="1">
        <f t="array" ref="P60">_xlfn.IFS(H60&lt;50, 1,
     H60&lt;70, 1.5,
     H60&lt;100, 2,
     H60&lt;120, 2.5,
     TRUE, 3)</f>
        <v>2</v>
      </c>
      <c r="Q60">
        <f t="shared" si="0"/>
        <v>2</v>
      </c>
      <c r="R60">
        <f t="shared" si="1"/>
        <v>2</v>
      </c>
      <c r="S60">
        <v>10</v>
      </c>
    </row>
    <row r="61" spans="1:19" x14ac:dyDescent="0.3">
      <c r="A61" s="25">
        <v>48</v>
      </c>
      <c r="B61" s="9"/>
      <c r="C61" s="10" t="s">
        <v>56</v>
      </c>
      <c r="D61" s="11">
        <v>60</v>
      </c>
      <c r="E61" s="12">
        <v>55</v>
      </c>
      <c r="F61" s="13">
        <v>50</v>
      </c>
      <c r="G61" s="14">
        <v>45</v>
      </c>
      <c r="H61" s="15">
        <v>40</v>
      </c>
      <c r="I61" s="8">
        <v>250</v>
      </c>
      <c r="J61" s="26">
        <v>50</v>
      </c>
      <c r="L61" cm="1">
        <f t="array" ref="L61">_xlfn.IFS(D61&lt;50, 1,
     D61&lt;70, 1.5,
     D61&lt;100, 2,
     D61&lt;120, 2.5,
     TRUE, 3)</f>
        <v>1.5</v>
      </c>
      <c r="M61" cm="1">
        <f t="array" ref="M61">_xlfn.IFS(E61&lt;50, 1,
     E61&lt;70, 1.5,
     E61&lt;100, 2,
     E61&lt;120, 2.5,
     TRUE, 3)</f>
        <v>1.5</v>
      </c>
      <c r="N61" cm="1">
        <f t="array" ref="N61">_xlfn.IFS(F61&lt;50, 1,
     F61&lt;70, 1.5,
     F61&lt;100, 2,
     F61&lt;120, 2.5,
     TRUE, 3)</f>
        <v>1.5</v>
      </c>
      <c r="O61" cm="1">
        <f t="array" ref="O61">_xlfn.IFS(G61&lt;50, 10,
     G61&lt;70, 15,
     G61&lt;100, 20,
     G61&lt;120, 25,
     TRUE, 30)</f>
        <v>10</v>
      </c>
      <c r="P61" cm="1">
        <f t="array" ref="P61">_xlfn.IFS(H61&lt;50, 1,
     H61&lt;70, 1.5,
     H61&lt;100, 2,
     H61&lt;120, 2.5,
     TRUE, 3)</f>
        <v>1</v>
      </c>
      <c r="Q61">
        <f t="shared" si="0"/>
        <v>1.5</v>
      </c>
      <c r="R61">
        <f t="shared" si="1"/>
        <v>1.5</v>
      </c>
      <c r="S61">
        <v>10</v>
      </c>
    </row>
    <row r="62" spans="1:19" x14ac:dyDescent="0.3">
      <c r="A62" s="25">
        <v>49</v>
      </c>
      <c r="B62" s="9"/>
      <c r="C62" s="10" t="s">
        <v>57</v>
      </c>
      <c r="D62" s="11">
        <v>70</v>
      </c>
      <c r="E62" s="12">
        <v>65</v>
      </c>
      <c r="F62" s="13">
        <v>60</v>
      </c>
      <c r="G62" s="14">
        <v>90</v>
      </c>
      <c r="H62" s="15">
        <v>90</v>
      </c>
      <c r="I62" s="8">
        <v>375</v>
      </c>
      <c r="J62" s="26">
        <v>75</v>
      </c>
      <c r="L62" cm="1">
        <f t="array" ref="L62">_xlfn.IFS(D62&lt;50, 1,
     D62&lt;70, 1.5,
     D62&lt;100, 2,
     D62&lt;120, 2.5,
     TRUE, 3)</f>
        <v>2</v>
      </c>
      <c r="M62" cm="1">
        <f t="array" ref="M62">_xlfn.IFS(E62&lt;50, 1,
     E62&lt;70, 1.5,
     E62&lt;100, 2,
     E62&lt;120, 2.5,
     TRUE, 3)</f>
        <v>1.5</v>
      </c>
      <c r="N62" cm="1">
        <f t="array" ref="N62">_xlfn.IFS(F62&lt;50, 1,
     F62&lt;70, 1.5,
     F62&lt;100, 2,
     F62&lt;120, 2.5,
     TRUE, 3)</f>
        <v>1.5</v>
      </c>
      <c r="O62" cm="1">
        <f t="array" ref="O62">_xlfn.IFS(G62&lt;50, 10,
     G62&lt;70, 15,
     G62&lt;100, 20,
     G62&lt;120, 25,
     TRUE, 30)</f>
        <v>20</v>
      </c>
      <c r="P62" cm="1">
        <f t="array" ref="P62">_xlfn.IFS(H62&lt;50, 1,
     H62&lt;70, 1.5,
     H62&lt;100, 2,
     H62&lt;120, 2.5,
     TRUE, 3)</f>
        <v>2</v>
      </c>
      <c r="Q62">
        <f t="shared" si="0"/>
        <v>2</v>
      </c>
      <c r="R62">
        <f t="shared" si="1"/>
        <v>2</v>
      </c>
      <c r="S62">
        <v>20</v>
      </c>
    </row>
    <row r="63" spans="1:19" x14ac:dyDescent="0.3">
      <c r="A63" s="25">
        <v>50</v>
      </c>
      <c r="B63" s="9"/>
      <c r="C63" s="10" t="s">
        <v>58</v>
      </c>
      <c r="D63" s="11">
        <v>10</v>
      </c>
      <c r="E63" s="12">
        <v>55</v>
      </c>
      <c r="F63" s="13">
        <v>25</v>
      </c>
      <c r="G63" s="14">
        <v>95</v>
      </c>
      <c r="H63" s="15">
        <v>45</v>
      </c>
      <c r="I63" s="8">
        <v>230</v>
      </c>
      <c r="J63" s="26">
        <v>46</v>
      </c>
      <c r="L63" cm="1">
        <f t="array" ref="L63">_xlfn.IFS(D63&lt;50, 1,
     D63&lt;70, 1.5,
     D63&lt;100, 2,
     D63&lt;120, 2.5,
     TRUE, 3)</f>
        <v>1</v>
      </c>
      <c r="M63" cm="1">
        <f t="array" ref="M63">_xlfn.IFS(E63&lt;50, 1,
     E63&lt;70, 1.5,
     E63&lt;100, 2,
     E63&lt;120, 2.5,
     TRUE, 3)</f>
        <v>1.5</v>
      </c>
      <c r="N63" cm="1">
        <f t="array" ref="N63">_xlfn.IFS(F63&lt;50, 1,
     F63&lt;70, 1.5,
     F63&lt;100, 2,
     F63&lt;120, 2.5,
     TRUE, 3)</f>
        <v>1</v>
      </c>
      <c r="O63" cm="1">
        <f t="array" ref="O63">_xlfn.IFS(G63&lt;50, 10,
     G63&lt;70, 15,
     G63&lt;100, 20,
     G63&lt;120, 25,
     TRUE, 30)</f>
        <v>20</v>
      </c>
      <c r="P63" cm="1">
        <f t="array" ref="P63">_xlfn.IFS(H63&lt;50, 1,
     H63&lt;70, 1.5,
     H63&lt;100, 2,
     H63&lt;120, 2.5,
     TRUE, 3)</f>
        <v>1</v>
      </c>
      <c r="Q63">
        <f t="shared" si="0"/>
        <v>1.5</v>
      </c>
      <c r="R63">
        <f t="shared" si="1"/>
        <v>1</v>
      </c>
      <c r="S63">
        <v>20</v>
      </c>
    </row>
    <row r="64" spans="1:19" x14ac:dyDescent="0.3">
      <c r="A64" s="25">
        <v>51</v>
      </c>
      <c r="B64" s="9"/>
      <c r="C64" s="10" t="s">
        <v>59</v>
      </c>
      <c r="D64" s="11">
        <v>35</v>
      </c>
      <c r="E64" s="12">
        <v>80</v>
      </c>
      <c r="F64" s="13">
        <v>50</v>
      </c>
      <c r="G64" s="14">
        <v>120</v>
      </c>
      <c r="H64" s="15">
        <v>70</v>
      </c>
      <c r="I64" s="8">
        <v>355</v>
      </c>
      <c r="J64" s="26">
        <v>71</v>
      </c>
      <c r="L64" cm="1">
        <f t="array" ref="L64">_xlfn.IFS(D64&lt;50, 1,
     D64&lt;70, 1.5,
     D64&lt;100, 2,
     D64&lt;120, 2.5,
     TRUE, 3)</f>
        <v>1</v>
      </c>
      <c r="M64" cm="1">
        <f t="array" ref="M64">_xlfn.IFS(E64&lt;50, 1,
     E64&lt;70, 1.5,
     E64&lt;100, 2,
     E64&lt;120, 2.5,
     TRUE, 3)</f>
        <v>2</v>
      </c>
      <c r="N64" cm="1">
        <f t="array" ref="N64">_xlfn.IFS(F64&lt;50, 1,
     F64&lt;70, 1.5,
     F64&lt;100, 2,
     F64&lt;120, 2.5,
     TRUE, 3)</f>
        <v>1.5</v>
      </c>
      <c r="O64" cm="1">
        <f t="array" ref="O64">_xlfn.IFS(G64&lt;50, 10,
     G64&lt;70, 15,
     G64&lt;100, 20,
     G64&lt;120, 25,
     TRUE, 30)</f>
        <v>30</v>
      </c>
      <c r="P64" cm="1">
        <f t="array" ref="P64">_xlfn.IFS(H64&lt;50, 1,
     H64&lt;70, 1.5,
     H64&lt;100, 2,
     H64&lt;120, 2.5,
     TRUE, 3)</f>
        <v>2</v>
      </c>
      <c r="Q64">
        <f t="shared" si="0"/>
        <v>2</v>
      </c>
      <c r="R64">
        <f t="shared" si="1"/>
        <v>2</v>
      </c>
      <c r="S64">
        <v>30</v>
      </c>
    </row>
    <row r="65" spans="1:19" x14ac:dyDescent="0.3">
      <c r="A65" s="25">
        <v>52</v>
      </c>
      <c r="B65" s="9"/>
      <c r="C65" s="10" t="s">
        <v>60</v>
      </c>
      <c r="D65" s="11">
        <v>40</v>
      </c>
      <c r="E65" s="12">
        <v>45</v>
      </c>
      <c r="F65" s="13">
        <v>35</v>
      </c>
      <c r="G65" s="14">
        <v>90</v>
      </c>
      <c r="H65" s="15">
        <v>40</v>
      </c>
      <c r="I65" s="8">
        <v>250</v>
      </c>
      <c r="J65" s="26">
        <v>50</v>
      </c>
      <c r="L65" cm="1">
        <f t="array" ref="L65">_xlfn.IFS(D65&lt;50, 1,
     D65&lt;70, 1.5,
     D65&lt;100, 2,
     D65&lt;120, 2.5,
     TRUE, 3)</f>
        <v>1</v>
      </c>
      <c r="M65" cm="1">
        <f t="array" ref="M65">_xlfn.IFS(E65&lt;50, 1,
     E65&lt;70, 1.5,
     E65&lt;100, 2,
     E65&lt;120, 2.5,
     TRUE, 3)</f>
        <v>1</v>
      </c>
      <c r="N65" cm="1">
        <f t="array" ref="N65">_xlfn.IFS(F65&lt;50, 1,
     F65&lt;70, 1.5,
     F65&lt;100, 2,
     F65&lt;120, 2.5,
     TRUE, 3)</f>
        <v>1</v>
      </c>
      <c r="O65" cm="1">
        <f t="array" ref="O65">_xlfn.IFS(G65&lt;50, 10,
     G65&lt;70, 15,
     G65&lt;100, 20,
     G65&lt;120, 25,
     TRUE, 30)</f>
        <v>20</v>
      </c>
      <c r="P65" cm="1">
        <f t="array" ref="P65">_xlfn.IFS(H65&lt;50, 1,
     H65&lt;70, 1.5,
     H65&lt;100, 2,
     H65&lt;120, 2.5,
     TRUE, 3)</f>
        <v>1</v>
      </c>
      <c r="Q65">
        <f t="shared" si="0"/>
        <v>1</v>
      </c>
      <c r="R65">
        <f t="shared" si="1"/>
        <v>1</v>
      </c>
      <c r="S65">
        <v>20</v>
      </c>
    </row>
    <row r="66" spans="1:19" x14ac:dyDescent="0.3">
      <c r="A66" s="25">
        <v>53</v>
      </c>
      <c r="B66" s="9"/>
      <c r="C66" s="10" t="s">
        <v>61</v>
      </c>
      <c r="D66" s="11">
        <v>65</v>
      </c>
      <c r="E66" s="12">
        <v>70</v>
      </c>
      <c r="F66" s="13">
        <v>60</v>
      </c>
      <c r="G66" s="14">
        <v>115</v>
      </c>
      <c r="H66" s="15">
        <v>65</v>
      </c>
      <c r="I66" s="8">
        <v>375</v>
      </c>
      <c r="J66" s="26">
        <v>75</v>
      </c>
      <c r="L66" cm="1">
        <f t="array" ref="L66">_xlfn.IFS(D66&lt;50, 1,
     D66&lt;70, 1.5,
     D66&lt;100, 2,
     D66&lt;120, 2.5,
     TRUE, 3)</f>
        <v>1.5</v>
      </c>
      <c r="M66" cm="1">
        <f t="array" ref="M66">_xlfn.IFS(E66&lt;50, 1,
     E66&lt;70, 1.5,
     E66&lt;100, 2,
     E66&lt;120, 2.5,
     TRUE, 3)</f>
        <v>2</v>
      </c>
      <c r="N66" cm="1">
        <f t="array" ref="N66">_xlfn.IFS(F66&lt;50, 1,
     F66&lt;70, 1.5,
     F66&lt;100, 2,
     F66&lt;120, 2.5,
     TRUE, 3)</f>
        <v>1.5</v>
      </c>
      <c r="O66" cm="1">
        <f t="array" ref="O66">_xlfn.IFS(G66&lt;50, 10,
     G66&lt;70, 15,
     G66&lt;100, 20,
     G66&lt;120, 25,
     TRUE, 30)</f>
        <v>25</v>
      </c>
      <c r="P66" cm="1">
        <f t="array" ref="P66">_xlfn.IFS(H66&lt;50, 1,
     H66&lt;70, 1.5,
     H66&lt;100, 2,
     H66&lt;120, 2.5,
     TRUE, 3)</f>
        <v>1.5</v>
      </c>
      <c r="Q66">
        <f t="shared" si="0"/>
        <v>2</v>
      </c>
      <c r="R66">
        <f t="shared" si="1"/>
        <v>1.5</v>
      </c>
      <c r="S66">
        <v>25</v>
      </c>
    </row>
    <row r="67" spans="1:19" x14ac:dyDescent="0.3">
      <c r="A67" s="25">
        <v>54</v>
      </c>
      <c r="B67" s="9"/>
      <c r="C67" s="10" t="s">
        <v>62</v>
      </c>
      <c r="D67" s="11">
        <v>50</v>
      </c>
      <c r="E67" s="12">
        <v>52</v>
      </c>
      <c r="F67" s="13">
        <v>48</v>
      </c>
      <c r="G67" s="14">
        <v>55</v>
      </c>
      <c r="H67" s="15">
        <v>50</v>
      </c>
      <c r="I67" s="8">
        <v>255</v>
      </c>
      <c r="J67" s="26">
        <v>51</v>
      </c>
      <c r="L67" cm="1">
        <f t="array" ref="L67">_xlfn.IFS(D67&lt;50, 1,
     D67&lt;70, 1.5,
     D67&lt;100, 2,
     D67&lt;120, 2.5,
     TRUE, 3)</f>
        <v>1.5</v>
      </c>
      <c r="M67" cm="1">
        <f t="array" ref="M67">_xlfn.IFS(E67&lt;50, 1,
     E67&lt;70, 1.5,
     E67&lt;100, 2,
     E67&lt;120, 2.5,
     TRUE, 3)</f>
        <v>1.5</v>
      </c>
      <c r="N67" cm="1">
        <f t="array" ref="N67">_xlfn.IFS(F67&lt;50, 1,
     F67&lt;70, 1.5,
     F67&lt;100, 2,
     F67&lt;120, 2.5,
     TRUE, 3)</f>
        <v>1</v>
      </c>
      <c r="O67" cm="1">
        <f t="array" ref="O67">_xlfn.IFS(G67&lt;50, 10,
     G67&lt;70, 15,
     G67&lt;100, 20,
     G67&lt;120, 25,
     TRUE, 30)</f>
        <v>15</v>
      </c>
      <c r="P67" cm="1">
        <f t="array" ref="P67">_xlfn.IFS(H67&lt;50, 1,
     H67&lt;70, 1.5,
     H67&lt;100, 2,
     H67&lt;120, 2.5,
     TRUE, 3)</f>
        <v>1.5</v>
      </c>
      <c r="Q67">
        <f t="shared" si="0"/>
        <v>1.5</v>
      </c>
      <c r="R67">
        <f t="shared" si="1"/>
        <v>1.5</v>
      </c>
      <c r="S67">
        <v>15</v>
      </c>
    </row>
    <row r="68" spans="1:19" x14ac:dyDescent="0.3">
      <c r="A68" s="25">
        <v>55</v>
      </c>
      <c r="B68" s="9"/>
      <c r="C68" s="10" t="s">
        <v>63</v>
      </c>
      <c r="D68" s="11">
        <v>80</v>
      </c>
      <c r="E68" s="12">
        <v>82</v>
      </c>
      <c r="F68" s="13">
        <v>78</v>
      </c>
      <c r="G68" s="14">
        <v>85</v>
      </c>
      <c r="H68" s="15">
        <v>80</v>
      </c>
      <c r="I68" s="8">
        <v>405</v>
      </c>
      <c r="J68" s="26">
        <v>81</v>
      </c>
      <c r="L68" cm="1">
        <f t="array" ref="L68">_xlfn.IFS(D68&lt;50, 1,
     D68&lt;70, 1.5,
     D68&lt;100, 2,
     D68&lt;120, 2.5,
     TRUE, 3)</f>
        <v>2</v>
      </c>
      <c r="M68" cm="1">
        <f t="array" ref="M68">_xlfn.IFS(E68&lt;50, 1,
     E68&lt;70, 1.5,
     E68&lt;100, 2,
     E68&lt;120, 2.5,
     TRUE, 3)</f>
        <v>2</v>
      </c>
      <c r="N68" cm="1">
        <f t="array" ref="N68">_xlfn.IFS(F68&lt;50, 1,
     F68&lt;70, 1.5,
     F68&lt;100, 2,
     F68&lt;120, 2.5,
     TRUE, 3)</f>
        <v>2</v>
      </c>
      <c r="O68" cm="1">
        <f t="array" ref="O68">_xlfn.IFS(G68&lt;50, 10,
     G68&lt;70, 15,
     G68&lt;100, 20,
     G68&lt;120, 25,
     TRUE, 30)</f>
        <v>20</v>
      </c>
      <c r="P68" cm="1">
        <f t="array" ref="P68">_xlfn.IFS(H68&lt;50, 1,
     H68&lt;70, 1.5,
     H68&lt;100, 2,
     H68&lt;120, 2.5,
     TRUE, 3)</f>
        <v>2</v>
      </c>
      <c r="Q68">
        <f t="shared" si="0"/>
        <v>2</v>
      </c>
      <c r="R68">
        <f t="shared" si="1"/>
        <v>2</v>
      </c>
      <c r="S68">
        <v>20</v>
      </c>
    </row>
    <row r="69" spans="1:19" x14ac:dyDescent="0.3">
      <c r="A69" s="25">
        <v>56</v>
      </c>
      <c r="B69" s="9"/>
      <c r="C69" s="10" t="s">
        <v>64</v>
      </c>
      <c r="D69" s="11">
        <v>40</v>
      </c>
      <c r="E69" s="12">
        <v>80</v>
      </c>
      <c r="F69" s="13">
        <v>35</v>
      </c>
      <c r="G69" s="14">
        <v>70</v>
      </c>
      <c r="H69" s="15">
        <v>35</v>
      </c>
      <c r="I69" s="8">
        <v>260</v>
      </c>
      <c r="J69" s="26">
        <v>52</v>
      </c>
      <c r="L69" cm="1">
        <f t="array" ref="L69">_xlfn.IFS(D69&lt;50, 1,
     D69&lt;70, 1.5,
     D69&lt;100, 2,
     D69&lt;120, 2.5,
     TRUE, 3)</f>
        <v>1</v>
      </c>
      <c r="M69" cm="1">
        <f t="array" ref="M69">_xlfn.IFS(E69&lt;50, 1,
     E69&lt;70, 1.5,
     E69&lt;100, 2,
     E69&lt;120, 2.5,
     TRUE, 3)</f>
        <v>2</v>
      </c>
      <c r="N69" cm="1">
        <f t="array" ref="N69">_xlfn.IFS(F69&lt;50, 1,
     F69&lt;70, 1.5,
     F69&lt;100, 2,
     F69&lt;120, 2.5,
     TRUE, 3)</f>
        <v>1</v>
      </c>
      <c r="O69" cm="1">
        <f t="array" ref="O69">_xlfn.IFS(G69&lt;50, 10,
     G69&lt;70, 15,
     G69&lt;100, 20,
     G69&lt;120, 25,
     TRUE, 30)</f>
        <v>20</v>
      </c>
      <c r="P69" cm="1">
        <f t="array" ref="P69">_xlfn.IFS(H69&lt;50, 1,
     H69&lt;70, 1.5,
     H69&lt;100, 2,
     H69&lt;120, 2.5,
     TRUE, 3)</f>
        <v>1</v>
      </c>
      <c r="Q69">
        <f t="shared" si="0"/>
        <v>2</v>
      </c>
      <c r="R69">
        <f t="shared" si="1"/>
        <v>1</v>
      </c>
      <c r="S69">
        <v>20</v>
      </c>
    </row>
    <row r="70" spans="1:19" x14ac:dyDescent="0.3">
      <c r="A70" s="25">
        <v>57</v>
      </c>
      <c r="B70" s="9"/>
      <c r="C70" s="10" t="s">
        <v>65</v>
      </c>
      <c r="D70" s="11">
        <v>65</v>
      </c>
      <c r="E70" s="12">
        <v>105</v>
      </c>
      <c r="F70" s="13">
        <v>60</v>
      </c>
      <c r="G70" s="14">
        <v>95</v>
      </c>
      <c r="H70" s="15">
        <v>60</v>
      </c>
      <c r="I70" s="8">
        <v>385</v>
      </c>
      <c r="J70" s="26">
        <v>77</v>
      </c>
      <c r="L70" cm="1">
        <f t="array" ref="L70">_xlfn.IFS(D70&lt;50, 1,
     D70&lt;70, 1.5,
     D70&lt;100, 2,
     D70&lt;120, 2.5,
     TRUE, 3)</f>
        <v>1.5</v>
      </c>
      <c r="M70" cm="1">
        <f t="array" ref="M70">_xlfn.IFS(E70&lt;50, 1,
     E70&lt;70, 1.5,
     E70&lt;100, 2,
     E70&lt;120, 2.5,
     TRUE, 3)</f>
        <v>2.5</v>
      </c>
      <c r="N70" cm="1">
        <f t="array" ref="N70">_xlfn.IFS(F70&lt;50, 1,
     F70&lt;70, 1.5,
     F70&lt;100, 2,
     F70&lt;120, 2.5,
     TRUE, 3)</f>
        <v>1.5</v>
      </c>
      <c r="O70" cm="1">
        <f t="array" ref="O70">_xlfn.IFS(G70&lt;50, 10,
     G70&lt;70, 15,
     G70&lt;100, 20,
     G70&lt;120, 25,
     TRUE, 30)</f>
        <v>20</v>
      </c>
      <c r="P70" cm="1">
        <f t="array" ref="P70">_xlfn.IFS(H70&lt;50, 1,
     H70&lt;70, 1.5,
     H70&lt;100, 2,
     H70&lt;120, 2.5,
     TRUE, 3)</f>
        <v>1.5</v>
      </c>
      <c r="Q70">
        <f t="shared" si="0"/>
        <v>2.5</v>
      </c>
      <c r="R70">
        <f t="shared" si="1"/>
        <v>1.5</v>
      </c>
      <c r="S70">
        <v>20</v>
      </c>
    </row>
    <row r="71" spans="1:19" x14ac:dyDescent="0.3">
      <c r="A71" s="25">
        <v>58</v>
      </c>
      <c r="B71" s="9"/>
      <c r="C71" s="10" t="s">
        <v>66</v>
      </c>
      <c r="D71" s="11">
        <v>55</v>
      </c>
      <c r="E71" s="12">
        <v>70</v>
      </c>
      <c r="F71" s="13">
        <v>45</v>
      </c>
      <c r="G71" s="14">
        <v>60</v>
      </c>
      <c r="H71" s="15">
        <v>50</v>
      </c>
      <c r="I71" s="8">
        <v>280</v>
      </c>
      <c r="J71" s="26">
        <v>56</v>
      </c>
      <c r="L71" cm="1">
        <f t="array" ref="L71">_xlfn.IFS(D71&lt;50, 1,
     D71&lt;70, 1.5,
     D71&lt;100, 2,
     D71&lt;120, 2.5,
     TRUE, 3)</f>
        <v>1.5</v>
      </c>
      <c r="M71" cm="1">
        <f t="array" ref="M71">_xlfn.IFS(E71&lt;50, 1,
     E71&lt;70, 1.5,
     E71&lt;100, 2,
     E71&lt;120, 2.5,
     TRUE, 3)</f>
        <v>2</v>
      </c>
      <c r="N71" cm="1">
        <f t="array" ref="N71">_xlfn.IFS(F71&lt;50, 1,
     F71&lt;70, 1.5,
     F71&lt;100, 2,
     F71&lt;120, 2.5,
     TRUE, 3)</f>
        <v>1</v>
      </c>
      <c r="O71" cm="1">
        <f t="array" ref="O71">_xlfn.IFS(G71&lt;50, 10,
     G71&lt;70, 15,
     G71&lt;100, 20,
     G71&lt;120, 25,
     TRUE, 30)</f>
        <v>15</v>
      </c>
      <c r="P71" cm="1">
        <f t="array" ref="P71">_xlfn.IFS(H71&lt;50, 1,
     H71&lt;70, 1.5,
     H71&lt;100, 2,
     H71&lt;120, 2.5,
     TRUE, 3)</f>
        <v>1.5</v>
      </c>
      <c r="Q71">
        <f t="shared" si="0"/>
        <v>2</v>
      </c>
      <c r="R71">
        <f t="shared" si="1"/>
        <v>1.5</v>
      </c>
      <c r="S71">
        <v>15</v>
      </c>
    </row>
    <row r="72" spans="1:19" x14ac:dyDescent="0.3">
      <c r="A72" s="25">
        <v>59</v>
      </c>
      <c r="B72" s="9"/>
      <c r="C72" s="10" t="s">
        <v>67</v>
      </c>
      <c r="D72" s="11">
        <v>90</v>
      </c>
      <c r="E72" s="12">
        <v>110</v>
      </c>
      <c r="F72" s="13">
        <v>80</v>
      </c>
      <c r="G72" s="14">
        <v>95</v>
      </c>
      <c r="H72" s="15">
        <v>80</v>
      </c>
      <c r="I72" s="8">
        <v>455</v>
      </c>
      <c r="J72" s="26">
        <v>91</v>
      </c>
      <c r="L72" cm="1">
        <f t="array" ref="L72">_xlfn.IFS(D72&lt;50, 1,
     D72&lt;70, 1.5,
     D72&lt;100, 2,
     D72&lt;120, 2.5,
     TRUE, 3)</f>
        <v>2</v>
      </c>
      <c r="M72" cm="1">
        <f t="array" ref="M72">_xlfn.IFS(E72&lt;50, 1,
     E72&lt;70, 1.5,
     E72&lt;100, 2,
     E72&lt;120, 2.5,
     TRUE, 3)</f>
        <v>2.5</v>
      </c>
      <c r="N72" cm="1">
        <f t="array" ref="N72">_xlfn.IFS(F72&lt;50, 1,
     F72&lt;70, 1.5,
     F72&lt;100, 2,
     F72&lt;120, 2.5,
     TRUE, 3)</f>
        <v>2</v>
      </c>
      <c r="O72" cm="1">
        <f t="array" ref="O72">_xlfn.IFS(G72&lt;50, 10,
     G72&lt;70, 15,
     G72&lt;100, 20,
     G72&lt;120, 25,
     TRUE, 30)</f>
        <v>20</v>
      </c>
      <c r="P72" cm="1">
        <f t="array" ref="P72">_xlfn.IFS(H72&lt;50, 1,
     H72&lt;70, 1.5,
     H72&lt;100, 2,
     H72&lt;120, 2.5,
     TRUE, 3)</f>
        <v>2</v>
      </c>
      <c r="Q72">
        <f t="shared" si="0"/>
        <v>2.5</v>
      </c>
      <c r="R72">
        <f t="shared" si="1"/>
        <v>2</v>
      </c>
      <c r="S72">
        <v>20</v>
      </c>
    </row>
    <row r="73" spans="1:19" x14ac:dyDescent="0.3">
      <c r="A73" s="25">
        <v>60</v>
      </c>
      <c r="B73" s="9"/>
      <c r="C73" s="10" t="s">
        <v>68</v>
      </c>
      <c r="D73" s="11">
        <v>40</v>
      </c>
      <c r="E73" s="12">
        <v>50</v>
      </c>
      <c r="F73" s="13">
        <v>40</v>
      </c>
      <c r="G73" s="14">
        <v>90</v>
      </c>
      <c r="H73" s="15">
        <v>40</v>
      </c>
      <c r="I73" s="8">
        <v>260</v>
      </c>
      <c r="J73" s="26">
        <v>52</v>
      </c>
      <c r="L73" cm="1">
        <f t="array" ref="L73">_xlfn.IFS(D73&lt;50, 1,
     D73&lt;70, 1.5,
     D73&lt;100, 2,
     D73&lt;120, 2.5,
     TRUE, 3)</f>
        <v>1</v>
      </c>
      <c r="M73" cm="1">
        <f t="array" ref="M73">_xlfn.IFS(E73&lt;50, 1,
     E73&lt;70, 1.5,
     E73&lt;100, 2,
     E73&lt;120, 2.5,
     TRUE, 3)</f>
        <v>1.5</v>
      </c>
      <c r="N73" cm="1">
        <f t="array" ref="N73">_xlfn.IFS(F73&lt;50, 1,
     F73&lt;70, 1.5,
     F73&lt;100, 2,
     F73&lt;120, 2.5,
     TRUE, 3)</f>
        <v>1</v>
      </c>
      <c r="O73" cm="1">
        <f t="array" ref="O73">_xlfn.IFS(G73&lt;50, 10,
     G73&lt;70, 15,
     G73&lt;100, 20,
     G73&lt;120, 25,
     TRUE, 30)</f>
        <v>20</v>
      </c>
      <c r="P73" cm="1">
        <f t="array" ref="P73">_xlfn.IFS(H73&lt;50, 1,
     H73&lt;70, 1.5,
     H73&lt;100, 2,
     H73&lt;120, 2.5,
     TRUE, 3)</f>
        <v>1</v>
      </c>
      <c r="Q73">
        <f t="shared" si="0"/>
        <v>1.5</v>
      </c>
      <c r="R73">
        <f t="shared" si="1"/>
        <v>1</v>
      </c>
      <c r="S73">
        <v>20</v>
      </c>
    </row>
    <row r="74" spans="1:19" x14ac:dyDescent="0.3">
      <c r="A74" s="25">
        <v>61</v>
      </c>
      <c r="B74" s="9"/>
      <c r="C74" s="10" t="s">
        <v>69</v>
      </c>
      <c r="D74" s="11">
        <v>65</v>
      </c>
      <c r="E74" s="12">
        <v>65</v>
      </c>
      <c r="F74" s="13">
        <v>65</v>
      </c>
      <c r="G74" s="14">
        <v>90</v>
      </c>
      <c r="H74" s="15">
        <v>50</v>
      </c>
      <c r="I74" s="8">
        <v>335</v>
      </c>
      <c r="J74" s="26">
        <v>67</v>
      </c>
      <c r="L74" cm="1">
        <f t="array" ref="L74">_xlfn.IFS(D74&lt;50, 1,
     D74&lt;70, 1.5,
     D74&lt;100, 2,
     D74&lt;120, 2.5,
     TRUE, 3)</f>
        <v>1.5</v>
      </c>
      <c r="M74" cm="1">
        <f t="array" ref="M74">_xlfn.IFS(E74&lt;50, 1,
     E74&lt;70, 1.5,
     E74&lt;100, 2,
     E74&lt;120, 2.5,
     TRUE, 3)</f>
        <v>1.5</v>
      </c>
      <c r="N74" cm="1">
        <f t="array" ref="N74">_xlfn.IFS(F74&lt;50, 1,
     F74&lt;70, 1.5,
     F74&lt;100, 2,
     F74&lt;120, 2.5,
     TRUE, 3)</f>
        <v>1.5</v>
      </c>
      <c r="O74" cm="1">
        <f t="array" ref="O74">_xlfn.IFS(G74&lt;50, 10,
     G74&lt;70, 15,
     G74&lt;100, 20,
     G74&lt;120, 25,
     TRUE, 30)</f>
        <v>20</v>
      </c>
      <c r="P74" cm="1">
        <f t="array" ref="P74">_xlfn.IFS(H74&lt;50, 1,
     H74&lt;70, 1.5,
     H74&lt;100, 2,
     H74&lt;120, 2.5,
     TRUE, 3)</f>
        <v>1.5</v>
      </c>
      <c r="Q74">
        <f t="shared" si="0"/>
        <v>1.5</v>
      </c>
      <c r="R74">
        <f t="shared" si="1"/>
        <v>1.5</v>
      </c>
      <c r="S74">
        <v>20</v>
      </c>
    </row>
    <row r="75" spans="1:19" x14ac:dyDescent="0.3">
      <c r="A75" s="25">
        <v>62</v>
      </c>
      <c r="B75" s="9"/>
      <c r="C75" s="10" t="s">
        <v>70</v>
      </c>
      <c r="D75" s="11">
        <v>90</v>
      </c>
      <c r="E75" s="12">
        <v>85</v>
      </c>
      <c r="F75" s="13">
        <v>95</v>
      </c>
      <c r="G75" s="14">
        <v>70</v>
      </c>
      <c r="H75" s="15">
        <v>70</v>
      </c>
      <c r="I75" s="8">
        <v>410</v>
      </c>
      <c r="J75" s="26">
        <v>82</v>
      </c>
      <c r="L75" cm="1">
        <f t="array" ref="L75">_xlfn.IFS(D75&lt;50, 1,
     D75&lt;70, 1.5,
     D75&lt;100, 2,
     D75&lt;120, 2.5,
     TRUE, 3)</f>
        <v>2</v>
      </c>
      <c r="M75" cm="1">
        <f t="array" ref="M75">_xlfn.IFS(E75&lt;50, 1,
     E75&lt;70, 1.5,
     E75&lt;100, 2,
     E75&lt;120, 2.5,
     TRUE, 3)</f>
        <v>2</v>
      </c>
      <c r="N75" cm="1">
        <f t="array" ref="N75">_xlfn.IFS(F75&lt;50, 1,
     F75&lt;70, 1.5,
     F75&lt;100, 2,
     F75&lt;120, 2.5,
     TRUE, 3)</f>
        <v>2</v>
      </c>
      <c r="O75" cm="1">
        <f t="array" ref="O75">_xlfn.IFS(G75&lt;50, 10,
     G75&lt;70, 15,
     G75&lt;100, 20,
     G75&lt;120, 25,
     TRUE, 30)</f>
        <v>20</v>
      </c>
      <c r="P75" cm="1">
        <f t="array" ref="P75">_xlfn.IFS(H75&lt;50, 1,
     H75&lt;70, 1.5,
     H75&lt;100, 2,
     H75&lt;120, 2.5,
     TRUE, 3)</f>
        <v>2</v>
      </c>
      <c r="Q75">
        <f t="shared" si="0"/>
        <v>2</v>
      </c>
      <c r="R75">
        <f t="shared" si="1"/>
        <v>2</v>
      </c>
      <c r="S75">
        <v>20</v>
      </c>
    </row>
    <row r="76" spans="1:19" x14ac:dyDescent="0.3">
      <c r="A76" s="25">
        <v>63</v>
      </c>
      <c r="B76" s="9"/>
      <c r="C76" s="10" t="s">
        <v>71</v>
      </c>
      <c r="D76" s="11">
        <v>25</v>
      </c>
      <c r="E76" s="12">
        <v>20</v>
      </c>
      <c r="F76" s="13">
        <v>15</v>
      </c>
      <c r="G76" s="14">
        <v>90</v>
      </c>
      <c r="H76" s="15">
        <v>105</v>
      </c>
      <c r="I76" s="8">
        <v>255</v>
      </c>
      <c r="J76" s="26">
        <v>51</v>
      </c>
      <c r="L76" cm="1">
        <f t="array" ref="L76">_xlfn.IFS(D76&lt;50, 1,
     D76&lt;70, 1.5,
     D76&lt;100, 2,
     D76&lt;120, 2.5,
     TRUE, 3)</f>
        <v>1</v>
      </c>
      <c r="M76" cm="1">
        <f t="array" ref="M76">_xlfn.IFS(E76&lt;50, 1,
     E76&lt;70, 1.5,
     E76&lt;100, 2,
     E76&lt;120, 2.5,
     TRUE, 3)</f>
        <v>1</v>
      </c>
      <c r="N76" cm="1">
        <f t="array" ref="N76">_xlfn.IFS(F76&lt;50, 1,
     F76&lt;70, 1.5,
     F76&lt;100, 2,
     F76&lt;120, 2.5,
     TRUE, 3)</f>
        <v>1</v>
      </c>
      <c r="O76" cm="1">
        <f t="array" ref="O76">_xlfn.IFS(G76&lt;50, 10,
     G76&lt;70, 15,
     G76&lt;100, 20,
     G76&lt;120, 25,
     TRUE, 30)</f>
        <v>20</v>
      </c>
      <c r="P76" cm="1">
        <f t="array" ref="P76">_xlfn.IFS(H76&lt;50, 1,
     H76&lt;70, 1.5,
     H76&lt;100, 2,
     H76&lt;120, 2.5,
     TRUE, 3)</f>
        <v>2.5</v>
      </c>
      <c r="Q76">
        <f t="shared" si="0"/>
        <v>2.5</v>
      </c>
      <c r="R76">
        <f t="shared" si="1"/>
        <v>2.5</v>
      </c>
      <c r="S76">
        <v>20</v>
      </c>
    </row>
    <row r="77" spans="1:19" x14ac:dyDescent="0.3">
      <c r="A77" s="25">
        <v>64</v>
      </c>
      <c r="B77" s="9"/>
      <c r="C77" s="10" t="s">
        <v>72</v>
      </c>
      <c r="D77" s="11">
        <v>40</v>
      </c>
      <c r="E77" s="12">
        <v>35</v>
      </c>
      <c r="F77" s="13">
        <v>30</v>
      </c>
      <c r="G77" s="14">
        <v>105</v>
      </c>
      <c r="H77" s="15">
        <v>120</v>
      </c>
      <c r="I77" s="8">
        <v>330</v>
      </c>
      <c r="J77" s="26">
        <v>66</v>
      </c>
      <c r="L77" cm="1">
        <f t="array" ref="L77">_xlfn.IFS(D77&lt;50, 1,
     D77&lt;70, 1.5,
     D77&lt;100, 2,
     D77&lt;120, 2.5,
     TRUE, 3)</f>
        <v>1</v>
      </c>
      <c r="M77" cm="1">
        <f t="array" ref="M77">_xlfn.IFS(E77&lt;50, 1,
     E77&lt;70, 1.5,
     E77&lt;100, 2,
     E77&lt;120, 2.5,
     TRUE, 3)</f>
        <v>1</v>
      </c>
      <c r="N77" cm="1">
        <f t="array" ref="N77">_xlfn.IFS(F77&lt;50, 1,
     F77&lt;70, 1.5,
     F77&lt;100, 2,
     F77&lt;120, 2.5,
     TRUE, 3)</f>
        <v>1</v>
      </c>
      <c r="O77" cm="1">
        <f t="array" ref="O77">_xlfn.IFS(G77&lt;50, 10,
     G77&lt;70, 15,
     G77&lt;100, 20,
     G77&lt;120, 25,
     TRUE, 30)</f>
        <v>25</v>
      </c>
      <c r="P77" cm="1">
        <f t="array" ref="P77">_xlfn.IFS(H77&lt;50, 1,
     H77&lt;70, 1.5,
     H77&lt;100, 2,
     H77&lt;120, 2.5,
     TRUE, 3)</f>
        <v>3</v>
      </c>
      <c r="Q77">
        <f t="shared" si="0"/>
        <v>3</v>
      </c>
      <c r="R77">
        <f t="shared" si="1"/>
        <v>3</v>
      </c>
      <c r="S77">
        <v>25</v>
      </c>
    </row>
    <row r="78" spans="1:19" x14ac:dyDescent="0.3">
      <c r="A78" s="25">
        <v>65</v>
      </c>
      <c r="B78" s="9"/>
      <c r="C78" s="10" t="s">
        <v>73</v>
      </c>
      <c r="D78" s="11">
        <v>55</v>
      </c>
      <c r="E78" s="12">
        <v>50</v>
      </c>
      <c r="F78" s="13">
        <v>45</v>
      </c>
      <c r="G78" s="14">
        <v>120</v>
      </c>
      <c r="H78" s="15">
        <v>135</v>
      </c>
      <c r="I78" s="8">
        <v>405</v>
      </c>
      <c r="J78" s="26">
        <v>81</v>
      </c>
      <c r="L78" cm="1">
        <f t="array" ref="L78">_xlfn.IFS(D78&lt;50, 1,
     D78&lt;70, 1.5,
     D78&lt;100, 2,
     D78&lt;120, 2.5,
     TRUE, 3)</f>
        <v>1.5</v>
      </c>
      <c r="M78" cm="1">
        <f t="array" ref="M78">_xlfn.IFS(E78&lt;50, 1,
     E78&lt;70, 1.5,
     E78&lt;100, 2,
     E78&lt;120, 2.5,
     TRUE, 3)</f>
        <v>1.5</v>
      </c>
      <c r="N78" cm="1">
        <f t="array" ref="N78">_xlfn.IFS(F78&lt;50, 1,
     F78&lt;70, 1.5,
     F78&lt;100, 2,
     F78&lt;120, 2.5,
     TRUE, 3)</f>
        <v>1</v>
      </c>
      <c r="O78" cm="1">
        <f t="array" ref="O78">_xlfn.IFS(G78&lt;50, 10,
     G78&lt;70, 15,
     G78&lt;100, 20,
     G78&lt;120, 25,
     TRUE, 30)</f>
        <v>30</v>
      </c>
      <c r="P78" cm="1">
        <f t="array" ref="P78">_xlfn.IFS(H78&lt;50, 1,
     H78&lt;70, 1.5,
     H78&lt;100, 2,
     H78&lt;120, 2.5,
     TRUE, 3)</f>
        <v>3</v>
      </c>
      <c r="Q78">
        <f t="shared" si="0"/>
        <v>3</v>
      </c>
      <c r="R78">
        <f t="shared" si="1"/>
        <v>3</v>
      </c>
      <c r="S78">
        <v>30</v>
      </c>
    </row>
    <row r="79" spans="1:19" x14ac:dyDescent="0.3">
      <c r="A79" s="25">
        <v>66</v>
      </c>
      <c r="B79" s="9"/>
      <c r="C79" s="10" t="s">
        <v>74</v>
      </c>
      <c r="D79" s="11">
        <v>70</v>
      </c>
      <c r="E79" s="12">
        <v>80</v>
      </c>
      <c r="F79" s="13">
        <v>50</v>
      </c>
      <c r="G79" s="14">
        <v>35</v>
      </c>
      <c r="H79" s="15">
        <v>35</v>
      </c>
      <c r="I79" s="8">
        <v>270</v>
      </c>
      <c r="J79" s="26">
        <v>54</v>
      </c>
      <c r="L79" cm="1">
        <f t="array" ref="L79">_xlfn.IFS(D79&lt;50, 1,
     D79&lt;70, 1.5,
     D79&lt;100, 2,
     D79&lt;120, 2.5,
     TRUE, 3)</f>
        <v>2</v>
      </c>
      <c r="M79" cm="1">
        <f t="array" ref="M79">_xlfn.IFS(E79&lt;50, 1,
     E79&lt;70, 1.5,
     E79&lt;100, 2,
     E79&lt;120, 2.5,
     TRUE, 3)</f>
        <v>2</v>
      </c>
      <c r="N79" cm="1">
        <f t="array" ref="N79">_xlfn.IFS(F79&lt;50, 1,
     F79&lt;70, 1.5,
     F79&lt;100, 2,
     F79&lt;120, 2.5,
     TRUE, 3)</f>
        <v>1.5</v>
      </c>
      <c r="O79" cm="1">
        <f t="array" ref="O79">_xlfn.IFS(G79&lt;50, 10,
     G79&lt;70, 15,
     G79&lt;100, 20,
     G79&lt;120, 25,
     TRUE, 30)</f>
        <v>10</v>
      </c>
      <c r="P79" cm="1">
        <f t="array" ref="P79">_xlfn.IFS(H79&lt;50, 1,
     H79&lt;70, 1.5,
     H79&lt;100, 2,
     H79&lt;120, 2.5,
     TRUE, 3)</f>
        <v>1</v>
      </c>
      <c r="Q79">
        <f t="shared" ref="Q79:Q142" si="2">MAX(M79,P79)</f>
        <v>2</v>
      </c>
      <c r="R79">
        <f t="shared" ref="R79:R142" si="3">MAX(N79,P79)</f>
        <v>1.5</v>
      </c>
      <c r="S79">
        <v>10</v>
      </c>
    </row>
    <row r="80" spans="1:19" x14ac:dyDescent="0.3">
      <c r="A80" s="25">
        <v>67</v>
      </c>
      <c r="B80" s="9"/>
      <c r="C80" s="10" t="s">
        <v>75</v>
      </c>
      <c r="D80" s="11">
        <v>80</v>
      </c>
      <c r="E80" s="12">
        <v>100</v>
      </c>
      <c r="F80" s="13">
        <v>70</v>
      </c>
      <c r="G80" s="14">
        <v>45</v>
      </c>
      <c r="H80" s="15">
        <v>50</v>
      </c>
      <c r="I80" s="8">
        <v>345</v>
      </c>
      <c r="J80" s="26">
        <v>69</v>
      </c>
      <c r="L80" cm="1">
        <f t="array" ref="L80">_xlfn.IFS(D80&lt;50, 1,
     D80&lt;70, 1.5,
     D80&lt;100, 2,
     D80&lt;120, 2.5,
     TRUE, 3)</f>
        <v>2</v>
      </c>
      <c r="M80" cm="1">
        <f t="array" ref="M80">_xlfn.IFS(E80&lt;50, 1,
     E80&lt;70, 1.5,
     E80&lt;100, 2,
     E80&lt;120, 2.5,
     TRUE, 3)</f>
        <v>2.5</v>
      </c>
      <c r="N80" cm="1">
        <f t="array" ref="N80">_xlfn.IFS(F80&lt;50, 1,
     F80&lt;70, 1.5,
     F80&lt;100, 2,
     F80&lt;120, 2.5,
     TRUE, 3)</f>
        <v>2</v>
      </c>
      <c r="O80" cm="1">
        <f t="array" ref="O80">_xlfn.IFS(G80&lt;50, 10,
     G80&lt;70, 15,
     G80&lt;100, 20,
     G80&lt;120, 25,
     TRUE, 30)</f>
        <v>10</v>
      </c>
      <c r="P80" cm="1">
        <f t="array" ref="P80">_xlfn.IFS(H80&lt;50, 1,
     H80&lt;70, 1.5,
     H80&lt;100, 2,
     H80&lt;120, 2.5,
     TRUE, 3)</f>
        <v>1.5</v>
      </c>
      <c r="Q80">
        <f t="shared" si="2"/>
        <v>2.5</v>
      </c>
      <c r="R80">
        <f t="shared" si="3"/>
        <v>2</v>
      </c>
      <c r="S80">
        <v>10</v>
      </c>
    </row>
    <row r="81" spans="1:19" x14ac:dyDescent="0.3">
      <c r="A81" s="25">
        <v>68</v>
      </c>
      <c r="B81" s="9"/>
      <c r="C81" s="10" t="s">
        <v>76</v>
      </c>
      <c r="D81" s="11">
        <v>90</v>
      </c>
      <c r="E81" s="12">
        <v>130</v>
      </c>
      <c r="F81" s="13">
        <v>80</v>
      </c>
      <c r="G81" s="14">
        <v>55</v>
      </c>
      <c r="H81" s="15">
        <v>65</v>
      </c>
      <c r="I81" s="8">
        <v>420</v>
      </c>
      <c r="J81" s="26">
        <v>84</v>
      </c>
      <c r="L81" cm="1">
        <f t="array" ref="L81">_xlfn.IFS(D81&lt;50, 1,
     D81&lt;70, 1.5,
     D81&lt;100, 2,
     D81&lt;120, 2.5,
     TRUE, 3)</f>
        <v>2</v>
      </c>
      <c r="M81" cm="1">
        <f t="array" ref="M81">_xlfn.IFS(E81&lt;50, 1,
     E81&lt;70, 1.5,
     E81&lt;100, 2,
     E81&lt;120, 2.5,
     TRUE, 3)</f>
        <v>3</v>
      </c>
      <c r="N81" cm="1">
        <f t="array" ref="N81">_xlfn.IFS(F81&lt;50, 1,
     F81&lt;70, 1.5,
     F81&lt;100, 2,
     F81&lt;120, 2.5,
     TRUE, 3)</f>
        <v>2</v>
      </c>
      <c r="O81" cm="1">
        <f t="array" ref="O81">_xlfn.IFS(G81&lt;50, 10,
     G81&lt;70, 15,
     G81&lt;100, 20,
     G81&lt;120, 25,
     TRUE, 30)</f>
        <v>15</v>
      </c>
      <c r="P81" cm="1">
        <f t="array" ref="P81">_xlfn.IFS(H81&lt;50, 1,
     H81&lt;70, 1.5,
     H81&lt;100, 2,
     H81&lt;120, 2.5,
     TRUE, 3)</f>
        <v>1.5</v>
      </c>
      <c r="Q81">
        <f t="shared" si="2"/>
        <v>3</v>
      </c>
      <c r="R81">
        <f t="shared" si="3"/>
        <v>2</v>
      </c>
      <c r="S81">
        <v>15</v>
      </c>
    </row>
    <row r="82" spans="1:19" x14ac:dyDescent="0.3">
      <c r="A82" s="25">
        <v>69</v>
      </c>
      <c r="B82" s="9"/>
      <c r="C82" s="10" t="s">
        <v>77</v>
      </c>
      <c r="D82" s="11">
        <v>50</v>
      </c>
      <c r="E82" s="12">
        <v>75</v>
      </c>
      <c r="F82" s="13">
        <v>35</v>
      </c>
      <c r="G82" s="14">
        <v>40</v>
      </c>
      <c r="H82" s="15">
        <v>70</v>
      </c>
      <c r="I82" s="8">
        <v>270</v>
      </c>
      <c r="J82" s="26">
        <v>54</v>
      </c>
      <c r="L82" cm="1">
        <f t="array" ref="L82">_xlfn.IFS(D82&lt;50, 1,
     D82&lt;70, 1.5,
     D82&lt;100, 2,
     D82&lt;120, 2.5,
     TRUE, 3)</f>
        <v>1.5</v>
      </c>
      <c r="M82" cm="1">
        <f t="array" ref="M82">_xlfn.IFS(E82&lt;50, 1,
     E82&lt;70, 1.5,
     E82&lt;100, 2,
     E82&lt;120, 2.5,
     TRUE, 3)</f>
        <v>2</v>
      </c>
      <c r="N82" cm="1">
        <f t="array" ref="N82">_xlfn.IFS(F82&lt;50, 1,
     F82&lt;70, 1.5,
     F82&lt;100, 2,
     F82&lt;120, 2.5,
     TRUE, 3)</f>
        <v>1</v>
      </c>
      <c r="O82" cm="1">
        <f t="array" ref="O82">_xlfn.IFS(G82&lt;50, 10,
     G82&lt;70, 15,
     G82&lt;100, 20,
     G82&lt;120, 25,
     TRUE, 30)</f>
        <v>10</v>
      </c>
      <c r="P82" cm="1">
        <f t="array" ref="P82">_xlfn.IFS(H82&lt;50, 1,
     H82&lt;70, 1.5,
     H82&lt;100, 2,
     H82&lt;120, 2.5,
     TRUE, 3)</f>
        <v>2</v>
      </c>
      <c r="Q82">
        <f t="shared" si="2"/>
        <v>2</v>
      </c>
      <c r="R82">
        <f t="shared" si="3"/>
        <v>2</v>
      </c>
      <c r="S82">
        <v>10</v>
      </c>
    </row>
    <row r="83" spans="1:19" x14ac:dyDescent="0.3">
      <c r="A83" s="25">
        <v>70</v>
      </c>
      <c r="B83" s="9"/>
      <c r="C83" s="10" t="s">
        <v>78</v>
      </c>
      <c r="D83" s="11">
        <v>65</v>
      </c>
      <c r="E83" s="12">
        <v>90</v>
      </c>
      <c r="F83" s="13">
        <v>50</v>
      </c>
      <c r="G83" s="14">
        <v>55</v>
      </c>
      <c r="H83" s="15">
        <v>85</v>
      </c>
      <c r="I83" s="8">
        <v>345</v>
      </c>
      <c r="J83" s="26">
        <v>69</v>
      </c>
      <c r="L83" cm="1">
        <f t="array" ref="L83">_xlfn.IFS(D83&lt;50, 1,
     D83&lt;70, 1.5,
     D83&lt;100, 2,
     D83&lt;120, 2.5,
     TRUE, 3)</f>
        <v>1.5</v>
      </c>
      <c r="M83" cm="1">
        <f t="array" ref="M83">_xlfn.IFS(E83&lt;50, 1,
     E83&lt;70, 1.5,
     E83&lt;100, 2,
     E83&lt;120, 2.5,
     TRUE, 3)</f>
        <v>2</v>
      </c>
      <c r="N83" cm="1">
        <f t="array" ref="N83">_xlfn.IFS(F83&lt;50, 1,
     F83&lt;70, 1.5,
     F83&lt;100, 2,
     F83&lt;120, 2.5,
     TRUE, 3)</f>
        <v>1.5</v>
      </c>
      <c r="O83" cm="1">
        <f t="array" ref="O83">_xlfn.IFS(G83&lt;50, 10,
     G83&lt;70, 15,
     G83&lt;100, 20,
     G83&lt;120, 25,
     TRUE, 30)</f>
        <v>15</v>
      </c>
      <c r="P83" cm="1">
        <f t="array" ref="P83">_xlfn.IFS(H83&lt;50, 1,
     H83&lt;70, 1.5,
     H83&lt;100, 2,
     H83&lt;120, 2.5,
     TRUE, 3)</f>
        <v>2</v>
      </c>
      <c r="Q83">
        <f t="shared" si="2"/>
        <v>2</v>
      </c>
      <c r="R83">
        <f t="shared" si="3"/>
        <v>2</v>
      </c>
      <c r="S83">
        <v>15</v>
      </c>
    </row>
    <row r="84" spans="1:19" x14ac:dyDescent="0.3">
      <c r="A84" s="25">
        <v>71</v>
      </c>
      <c r="B84" s="9"/>
      <c r="C84" s="10" t="s">
        <v>79</v>
      </c>
      <c r="D84" s="11">
        <v>80</v>
      </c>
      <c r="E84" s="12">
        <v>105</v>
      </c>
      <c r="F84" s="13">
        <v>65</v>
      </c>
      <c r="G84" s="14">
        <v>70</v>
      </c>
      <c r="H84" s="15">
        <v>100</v>
      </c>
      <c r="I84" s="8">
        <v>420</v>
      </c>
      <c r="J84" s="26">
        <v>84</v>
      </c>
      <c r="L84" cm="1">
        <f t="array" ref="L84">_xlfn.IFS(D84&lt;50, 1,
     D84&lt;70, 1.5,
     D84&lt;100, 2,
     D84&lt;120, 2.5,
     TRUE, 3)</f>
        <v>2</v>
      </c>
      <c r="M84" cm="1">
        <f t="array" ref="M84">_xlfn.IFS(E84&lt;50, 1,
     E84&lt;70, 1.5,
     E84&lt;100, 2,
     E84&lt;120, 2.5,
     TRUE, 3)</f>
        <v>2.5</v>
      </c>
      <c r="N84" cm="1">
        <f t="array" ref="N84">_xlfn.IFS(F84&lt;50, 1,
     F84&lt;70, 1.5,
     F84&lt;100, 2,
     F84&lt;120, 2.5,
     TRUE, 3)</f>
        <v>1.5</v>
      </c>
      <c r="O84" cm="1">
        <f t="array" ref="O84">_xlfn.IFS(G84&lt;50, 10,
     G84&lt;70, 15,
     G84&lt;100, 20,
     G84&lt;120, 25,
     TRUE, 30)</f>
        <v>20</v>
      </c>
      <c r="P84" cm="1">
        <f t="array" ref="P84">_xlfn.IFS(H84&lt;50, 1,
     H84&lt;70, 1.5,
     H84&lt;100, 2,
     H84&lt;120, 2.5,
     TRUE, 3)</f>
        <v>2.5</v>
      </c>
      <c r="Q84">
        <f t="shared" si="2"/>
        <v>2.5</v>
      </c>
      <c r="R84">
        <f t="shared" si="3"/>
        <v>2.5</v>
      </c>
      <c r="S84">
        <v>20</v>
      </c>
    </row>
    <row r="85" spans="1:19" x14ac:dyDescent="0.3">
      <c r="A85" s="25">
        <v>72</v>
      </c>
      <c r="B85" s="9"/>
      <c r="C85" s="10" t="s">
        <v>80</v>
      </c>
      <c r="D85" s="11">
        <v>40</v>
      </c>
      <c r="E85" s="12">
        <v>40</v>
      </c>
      <c r="F85" s="13">
        <v>35</v>
      </c>
      <c r="G85" s="14">
        <v>70</v>
      </c>
      <c r="H85" s="15">
        <v>100</v>
      </c>
      <c r="I85" s="8">
        <v>285</v>
      </c>
      <c r="J85" s="26">
        <v>57</v>
      </c>
      <c r="L85" cm="1">
        <f t="array" ref="L85">_xlfn.IFS(D85&lt;50, 1,
     D85&lt;70, 1.5,
     D85&lt;100, 2,
     D85&lt;120, 2.5,
     TRUE, 3)</f>
        <v>1</v>
      </c>
      <c r="M85" cm="1">
        <f t="array" ref="M85">_xlfn.IFS(E85&lt;50, 1,
     E85&lt;70, 1.5,
     E85&lt;100, 2,
     E85&lt;120, 2.5,
     TRUE, 3)</f>
        <v>1</v>
      </c>
      <c r="N85" cm="1">
        <f t="array" ref="N85">_xlfn.IFS(F85&lt;50, 1,
     F85&lt;70, 1.5,
     F85&lt;100, 2,
     F85&lt;120, 2.5,
     TRUE, 3)</f>
        <v>1</v>
      </c>
      <c r="O85" cm="1">
        <f t="array" ref="O85">_xlfn.IFS(G85&lt;50, 10,
     G85&lt;70, 15,
     G85&lt;100, 20,
     G85&lt;120, 25,
     TRUE, 30)</f>
        <v>20</v>
      </c>
      <c r="P85" cm="1">
        <f t="array" ref="P85">_xlfn.IFS(H85&lt;50, 1,
     H85&lt;70, 1.5,
     H85&lt;100, 2,
     H85&lt;120, 2.5,
     TRUE, 3)</f>
        <v>2.5</v>
      </c>
      <c r="Q85">
        <f t="shared" si="2"/>
        <v>2.5</v>
      </c>
      <c r="R85">
        <f t="shared" si="3"/>
        <v>2.5</v>
      </c>
      <c r="S85">
        <v>20</v>
      </c>
    </row>
    <row r="86" spans="1:19" x14ac:dyDescent="0.3">
      <c r="A86" s="25">
        <v>73</v>
      </c>
      <c r="B86" s="9"/>
      <c r="C86" s="10" t="s">
        <v>81</v>
      </c>
      <c r="D86" s="11">
        <v>80</v>
      </c>
      <c r="E86" s="12">
        <v>70</v>
      </c>
      <c r="F86" s="13">
        <v>65</v>
      </c>
      <c r="G86" s="14">
        <v>100</v>
      </c>
      <c r="H86" s="15">
        <v>120</v>
      </c>
      <c r="I86" s="8">
        <v>435</v>
      </c>
      <c r="J86" s="26">
        <v>87</v>
      </c>
      <c r="L86" cm="1">
        <f t="array" ref="L86">_xlfn.IFS(D86&lt;50, 1,
     D86&lt;70, 1.5,
     D86&lt;100, 2,
     D86&lt;120, 2.5,
     TRUE, 3)</f>
        <v>2</v>
      </c>
      <c r="M86" cm="1">
        <f t="array" ref="M86">_xlfn.IFS(E86&lt;50, 1,
     E86&lt;70, 1.5,
     E86&lt;100, 2,
     E86&lt;120, 2.5,
     TRUE, 3)</f>
        <v>2</v>
      </c>
      <c r="N86" cm="1">
        <f t="array" ref="N86">_xlfn.IFS(F86&lt;50, 1,
     F86&lt;70, 1.5,
     F86&lt;100, 2,
     F86&lt;120, 2.5,
     TRUE, 3)</f>
        <v>1.5</v>
      </c>
      <c r="O86" cm="1">
        <f t="array" ref="O86">_xlfn.IFS(G86&lt;50, 10,
     G86&lt;70, 15,
     G86&lt;100, 20,
     G86&lt;120, 25,
     TRUE, 30)</f>
        <v>25</v>
      </c>
      <c r="P86" cm="1">
        <f t="array" ref="P86">_xlfn.IFS(H86&lt;50, 1,
     H86&lt;70, 1.5,
     H86&lt;100, 2,
     H86&lt;120, 2.5,
     TRUE, 3)</f>
        <v>3</v>
      </c>
      <c r="Q86">
        <f t="shared" si="2"/>
        <v>3</v>
      </c>
      <c r="R86">
        <f t="shared" si="3"/>
        <v>3</v>
      </c>
      <c r="S86">
        <v>25</v>
      </c>
    </row>
    <row r="87" spans="1:19" x14ac:dyDescent="0.3">
      <c r="A87" s="25">
        <v>74</v>
      </c>
      <c r="B87" s="9"/>
      <c r="C87" s="10" t="s">
        <v>82</v>
      </c>
      <c r="D87" s="11">
        <v>40</v>
      </c>
      <c r="E87" s="12">
        <v>80</v>
      </c>
      <c r="F87" s="13">
        <v>100</v>
      </c>
      <c r="G87" s="14">
        <v>20</v>
      </c>
      <c r="H87" s="15">
        <v>30</v>
      </c>
      <c r="I87" s="8">
        <v>270</v>
      </c>
      <c r="J87" s="26">
        <v>54</v>
      </c>
      <c r="L87" cm="1">
        <f t="array" ref="L87">_xlfn.IFS(D87&lt;50, 1,
     D87&lt;70, 1.5,
     D87&lt;100, 2,
     D87&lt;120, 2.5,
     TRUE, 3)</f>
        <v>1</v>
      </c>
      <c r="M87" cm="1">
        <f t="array" ref="M87">_xlfn.IFS(E87&lt;50, 1,
     E87&lt;70, 1.5,
     E87&lt;100, 2,
     E87&lt;120, 2.5,
     TRUE, 3)</f>
        <v>2</v>
      </c>
      <c r="N87" cm="1">
        <f t="array" ref="N87">_xlfn.IFS(F87&lt;50, 1,
     F87&lt;70, 1.5,
     F87&lt;100, 2,
     F87&lt;120, 2.5,
     TRUE, 3)</f>
        <v>2.5</v>
      </c>
      <c r="O87" cm="1">
        <f t="array" ref="O87">_xlfn.IFS(G87&lt;50, 10,
     G87&lt;70, 15,
     G87&lt;100, 20,
     G87&lt;120, 25,
     TRUE, 30)</f>
        <v>10</v>
      </c>
      <c r="P87" cm="1">
        <f t="array" ref="P87">_xlfn.IFS(H87&lt;50, 1,
     H87&lt;70, 1.5,
     H87&lt;100, 2,
     H87&lt;120, 2.5,
     TRUE, 3)</f>
        <v>1</v>
      </c>
      <c r="Q87">
        <f t="shared" si="2"/>
        <v>2</v>
      </c>
      <c r="R87">
        <f t="shared" si="3"/>
        <v>2.5</v>
      </c>
      <c r="S87">
        <v>10</v>
      </c>
    </row>
    <row r="88" spans="1:19" x14ac:dyDescent="0.3">
      <c r="A88" s="25">
        <v>75</v>
      </c>
      <c r="B88" s="9"/>
      <c r="C88" s="10" t="s">
        <v>83</v>
      </c>
      <c r="D88" s="11">
        <v>55</v>
      </c>
      <c r="E88" s="12">
        <v>95</v>
      </c>
      <c r="F88" s="13">
        <v>115</v>
      </c>
      <c r="G88" s="14">
        <v>35</v>
      </c>
      <c r="H88" s="15">
        <v>45</v>
      </c>
      <c r="I88" s="8">
        <v>345</v>
      </c>
      <c r="J88" s="26">
        <v>69</v>
      </c>
      <c r="L88" cm="1">
        <f t="array" ref="L88">_xlfn.IFS(D88&lt;50, 1,
     D88&lt;70, 1.5,
     D88&lt;100, 2,
     D88&lt;120, 2.5,
     TRUE, 3)</f>
        <v>1.5</v>
      </c>
      <c r="M88" cm="1">
        <f t="array" ref="M88">_xlfn.IFS(E88&lt;50, 1,
     E88&lt;70, 1.5,
     E88&lt;100, 2,
     E88&lt;120, 2.5,
     TRUE, 3)</f>
        <v>2</v>
      </c>
      <c r="N88" cm="1">
        <f t="array" ref="N88">_xlfn.IFS(F88&lt;50, 1,
     F88&lt;70, 1.5,
     F88&lt;100, 2,
     F88&lt;120, 2.5,
     TRUE, 3)</f>
        <v>2.5</v>
      </c>
      <c r="O88" cm="1">
        <f t="array" ref="O88">_xlfn.IFS(G88&lt;50, 10,
     G88&lt;70, 15,
     G88&lt;100, 20,
     G88&lt;120, 25,
     TRUE, 30)</f>
        <v>10</v>
      </c>
      <c r="P88" cm="1">
        <f t="array" ref="P88">_xlfn.IFS(H88&lt;50, 1,
     H88&lt;70, 1.5,
     H88&lt;100, 2,
     H88&lt;120, 2.5,
     TRUE, 3)</f>
        <v>1</v>
      </c>
      <c r="Q88">
        <f t="shared" si="2"/>
        <v>2</v>
      </c>
      <c r="R88">
        <f t="shared" si="3"/>
        <v>2.5</v>
      </c>
      <c r="S88">
        <v>10</v>
      </c>
    </row>
    <row r="89" spans="1:19" x14ac:dyDescent="0.3">
      <c r="A89" s="25">
        <v>76</v>
      </c>
      <c r="B89" s="9"/>
      <c r="C89" s="10" t="s">
        <v>84</v>
      </c>
      <c r="D89" s="11">
        <v>80</v>
      </c>
      <c r="E89" s="12">
        <v>110</v>
      </c>
      <c r="F89" s="13">
        <v>130</v>
      </c>
      <c r="G89" s="14">
        <v>45</v>
      </c>
      <c r="H89" s="15">
        <v>55</v>
      </c>
      <c r="I89" s="8">
        <v>420</v>
      </c>
      <c r="J89" s="26">
        <v>84</v>
      </c>
      <c r="L89" cm="1">
        <f t="array" ref="L89">_xlfn.IFS(D89&lt;50, 1,
     D89&lt;70, 1.5,
     D89&lt;100, 2,
     D89&lt;120, 2.5,
     TRUE, 3)</f>
        <v>2</v>
      </c>
      <c r="M89" cm="1">
        <f t="array" ref="M89">_xlfn.IFS(E89&lt;50, 1,
     E89&lt;70, 1.5,
     E89&lt;100, 2,
     E89&lt;120, 2.5,
     TRUE, 3)</f>
        <v>2.5</v>
      </c>
      <c r="N89" cm="1">
        <f t="array" ref="N89">_xlfn.IFS(F89&lt;50, 1,
     F89&lt;70, 1.5,
     F89&lt;100, 2,
     F89&lt;120, 2.5,
     TRUE, 3)</f>
        <v>3</v>
      </c>
      <c r="O89" cm="1">
        <f t="array" ref="O89">_xlfn.IFS(G89&lt;50, 10,
     G89&lt;70, 15,
     G89&lt;100, 20,
     G89&lt;120, 25,
     TRUE, 30)</f>
        <v>10</v>
      </c>
      <c r="P89" cm="1">
        <f t="array" ref="P89">_xlfn.IFS(H89&lt;50, 1,
     H89&lt;70, 1.5,
     H89&lt;100, 2,
     H89&lt;120, 2.5,
     TRUE, 3)</f>
        <v>1.5</v>
      </c>
      <c r="Q89">
        <f t="shared" si="2"/>
        <v>2.5</v>
      </c>
      <c r="R89">
        <f t="shared" si="3"/>
        <v>3</v>
      </c>
      <c r="S89">
        <v>10</v>
      </c>
    </row>
    <row r="90" spans="1:19" x14ac:dyDescent="0.3">
      <c r="A90" s="25">
        <v>77</v>
      </c>
      <c r="B90" s="9"/>
      <c r="C90" s="10" t="s">
        <v>85</v>
      </c>
      <c r="D90" s="11">
        <v>50</v>
      </c>
      <c r="E90" s="12">
        <v>85</v>
      </c>
      <c r="F90" s="13">
        <v>55</v>
      </c>
      <c r="G90" s="14">
        <v>90</v>
      </c>
      <c r="H90" s="15">
        <v>65</v>
      </c>
      <c r="I90" s="8">
        <v>345</v>
      </c>
      <c r="J90" s="26">
        <v>69</v>
      </c>
      <c r="L90" cm="1">
        <f t="array" ref="L90">_xlfn.IFS(D90&lt;50, 1,
     D90&lt;70, 1.5,
     D90&lt;100, 2,
     D90&lt;120, 2.5,
     TRUE, 3)</f>
        <v>1.5</v>
      </c>
      <c r="M90" cm="1">
        <f t="array" ref="M90">_xlfn.IFS(E90&lt;50, 1,
     E90&lt;70, 1.5,
     E90&lt;100, 2,
     E90&lt;120, 2.5,
     TRUE, 3)</f>
        <v>2</v>
      </c>
      <c r="N90" cm="1">
        <f t="array" ref="N90">_xlfn.IFS(F90&lt;50, 1,
     F90&lt;70, 1.5,
     F90&lt;100, 2,
     F90&lt;120, 2.5,
     TRUE, 3)</f>
        <v>1.5</v>
      </c>
      <c r="O90" cm="1">
        <f t="array" ref="O90">_xlfn.IFS(G90&lt;50, 10,
     G90&lt;70, 15,
     G90&lt;100, 20,
     G90&lt;120, 25,
     TRUE, 30)</f>
        <v>20</v>
      </c>
      <c r="P90" cm="1">
        <f t="array" ref="P90">_xlfn.IFS(H90&lt;50, 1,
     H90&lt;70, 1.5,
     H90&lt;100, 2,
     H90&lt;120, 2.5,
     TRUE, 3)</f>
        <v>1.5</v>
      </c>
      <c r="Q90">
        <f t="shared" si="2"/>
        <v>2</v>
      </c>
      <c r="R90">
        <f t="shared" si="3"/>
        <v>1.5</v>
      </c>
      <c r="S90">
        <v>20</v>
      </c>
    </row>
    <row r="91" spans="1:19" x14ac:dyDescent="0.3">
      <c r="A91" s="25">
        <v>78</v>
      </c>
      <c r="B91" s="9"/>
      <c r="C91" s="10" t="s">
        <v>86</v>
      </c>
      <c r="D91" s="11">
        <v>65</v>
      </c>
      <c r="E91" s="12">
        <v>100</v>
      </c>
      <c r="F91" s="13">
        <v>70</v>
      </c>
      <c r="G91" s="14">
        <v>105</v>
      </c>
      <c r="H91" s="15">
        <v>80</v>
      </c>
      <c r="I91" s="8">
        <v>420</v>
      </c>
      <c r="J91" s="26">
        <v>84</v>
      </c>
      <c r="L91" cm="1">
        <f t="array" ref="L91">_xlfn.IFS(D91&lt;50, 1,
     D91&lt;70, 1.5,
     D91&lt;100, 2,
     D91&lt;120, 2.5,
     TRUE, 3)</f>
        <v>1.5</v>
      </c>
      <c r="M91" cm="1">
        <f t="array" ref="M91">_xlfn.IFS(E91&lt;50, 1,
     E91&lt;70, 1.5,
     E91&lt;100, 2,
     E91&lt;120, 2.5,
     TRUE, 3)</f>
        <v>2.5</v>
      </c>
      <c r="N91" cm="1">
        <f t="array" ref="N91">_xlfn.IFS(F91&lt;50, 1,
     F91&lt;70, 1.5,
     F91&lt;100, 2,
     F91&lt;120, 2.5,
     TRUE, 3)</f>
        <v>2</v>
      </c>
      <c r="O91" cm="1">
        <f t="array" ref="O91">_xlfn.IFS(G91&lt;50, 10,
     G91&lt;70, 15,
     G91&lt;100, 20,
     G91&lt;120, 25,
     TRUE, 30)</f>
        <v>25</v>
      </c>
      <c r="P91" cm="1">
        <f t="array" ref="P91">_xlfn.IFS(H91&lt;50, 1,
     H91&lt;70, 1.5,
     H91&lt;100, 2,
     H91&lt;120, 2.5,
     TRUE, 3)</f>
        <v>2</v>
      </c>
      <c r="Q91">
        <f t="shared" si="2"/>
        <v>2.5</v>
      </c>
      <c r="R91">
        <f t="shared" si="3"/>
        <v>2</v>
      </c>
      <c r="S91">
        <v>25</v>
      </c>
    </row>
    <row r="92" spans="1:19" x14ac:dyDescent="0.3">
      <c r="A92" s="25">
        <v>79</v>
      </c>
      <c r="B92" s="9"/>
      <c r="C92" s="10" t="s">
        <v>87</v>
      </c>
      <c r="D92" s="11">
        <v>90</v>
      </c>
      <c r="E92" s="12">
        <v>65</v>
      </c>
      <c r="F92" s="13">
        <v>65</v>
      </c>
      <c r="G92" s="14">
        <v>15</v>
      </c>
      <c r="H92" s="15">
        <v>40</v>
      </c>
      <c r="I92" s="8">
        <v>275</v>
      </c>
      <c r="J92" s="26">
        <v>55</v>
      </c>
      <c r="L92" cm="1">
        <f t="array" ref="L92">_xlfn.IFS(D92&lt;50, 1,
     D92&lt;70, 1.5,
     D92&lt;100, 2,
     D92&lt;120, 2.5,
     TRUE, 3)</f>
        <v>2</v>
      </c>
      <c r="M92" cm="1">
        <f t="array" ref="M92">_xlfn.IFS(E92&lt;50, 1,
     E92&lt;70, 1.5,
     E92&lt;100, 2,
     E92&lt;120, 2.5,
     TRUE, 3)</f>
        <v>1.5</v>
      </c>
      <c r="N92" cm="1">
        <f t="array" ref="N92">_xlfn.IFS(F92&lt;50, 1,
     F92&lt;70, 1.5,
     F92&lt;100, 2,
     F92&lt;120, 2.5,
     TRUE, 3)</f>
        <v>1.5</v>
      </c>
      <c r="O92" cm="1">
        <f t="array" ref="O92">_xlfn.IFS(G92&lt;50, 10,
     G92&lt;70, 15,
     G92&lt;100, 20,
     G92&lt;120, 25,
     TRUE, 30)</f>
        <v>10</v>
      </c>
      <c r="P92" cm="1">
        <f t="array" ref="P92">_xlfn.IFS(H92&lt;50, 1,
     H92&lt;70, 1.5,
     H92&lt;100, 2,
     H92&lt;120, 2.5,
     TRUE, 3)</f>
        <v>1</v>
      </c>
      <c r="Q92">
        <f t="shared" si="2"/>
        <v>1.5</v>
      </c>
      <c r="R92">
        <f t="shared" si="3"/>
        <v>1.5</v>
      </c>
      <c r="S92">
        <v>10</v>
      </c>
    </row>
    <row r="93" spans="1:19" x14ac:dyDescent="0.3">
      <c r="A93" s="25">
        <v>80</v>
      </c>
      <c r="B93" s="9"/>
      <c r="C93" s="10" t="s">
        <v>88</v>
      </c>
      <c r="D93" s="11">
        <v>95</v>
      </c>
      <c r="E93" s="12">
        <v>75</v>
      </c>
      <c r="F93" s="13">
        <v>110</v>
      </c>
      <c r="G93" s="14">
        <v>30</v>
      </c>
      <c r="H93" s="15">
        <v>80</v>
      </c>
      <c r="I93" s="8">
        <v>390</v>
      </c>
      <c r="J93" s="26">
        <v>78</v>
      </c>
      <c r="L93" cm="1">
        <f t="array" ref="L93">_xlfn.IFS(D93&lt;50, 1,
     D93&lt;70, 1.5,
     D93&lt;100, 2,
     D93&lt;120, 2.5,
     TRUE, 3)</f>
        <v>2</v>
      </c>
      <c r="M93" cm="1">
        <f t="array" ref="M93">_xlfn.IFS(E93&lt;50, 1,
     E93&lt;70, 1.5,
     E93&lt;100, 2,
     E93&lt;120, 2.5,
     TRUE, 3)</f>
        <v>2</v>
      </c>
      <c r="N93" cm="1">
        <f t="array" ref="N93">_xlfn.IFS(F93&lt;50, 1,
     F93&lt;70, 1.5,
     F93&lt;100, 2,
     F93&lt;120, 2.5,
     TRUE, 3)</f>
        <v>2.5</v>
      </c>
      <c r="O93" cm="1">
        <f t="array" ref="O93">_xlfn.IFS(G93&lt;50, 10,
     G93&lt;70, 15,
     G93&lt;100, 20,
     G93&lt;120, 25,
     TRUE, 30)</f>
        <v>10</v>
      </c>
      <c r="P93" cm="1">
        <f t="array" ref="P93">_xlfn.IFS(H93&lt;50, 1,
     H93&lt;70, 1.5,
     H93&lt;100, 2,
     H93&lt;120, 2.5,
     TRUE, 3)</f>
        <v>2</v>
      </c>
      <c r="Q93">
        <f t="shared" si="2"/>
        <v>2</v>
      </c>
      <c r="R93">
        <f t="shared" si="3"/>
        <v>2.5</v>
      </c>
      <c r="S93">
        <v>10</v>
      </c>
    </row>
    <row r="94" spans="1:19" x14ac:dyDescent="0.3">
      <c r="A94" s="25">
        <v>81</v>
      </c>
      <c r="B94" s="9"/>
      <c r="C94" s="10" t="s">
        <v>89</v>
      </c>
      <c r="D94" s="11">
        <v>25</v>
      </c>
      <c r="E94" s="12">
        <v>35</v>
      </c>
      <c r="F94" s="13">
        <v>70</v>
      </c>
      <c r="G94" s="14">
        <v>45</v>
      </c>
      <c r="H94" s="15">
        <v>95</v>
      </c>
      <c r="I94" s="8">
        <v>270</v>
      </c>
      <c r="J94" s="26">
        <v>54</v>
      </c>
      <c r="L94" cm="1">
        <f t="array" ref="L94">_xlfn.IFS(D94&lt;50, 1,
     D94&lt;70, 1.5,
     D94&lt;100, 2,
     D94&lt;120, 2.5,
     TRUE, 3)</f>
        <v>1</v>
      </c>
      <c r="M94" cm="1">
        <f t="array" ref="M94">_xlfn.IFS(E94&lt;50, 1,
     E94&lt;70, 1.5,
     E94&lt;100, 2,
     E94&lt;120, 2.5,
     TRUE, 3)</f>
        <v>1</v>
      </c>
      <c r="N94" cm="1">
        <f t="array" ref="N94">_xlfn.IFS(F94&lt;50, 1,
     F94&lt;70, 1.5,
     F94&lt;100, 2,
     F94&lt;120, 2.5,
     TRUE, 3)</f>
        <v>2</v>
      </c>
      <c r="O94" cm="1">
        <f t="array" ref="O94">_xlfn.IFS(G94&lt;50, 10,
     G94&lt;70, 15,
     G94&lt;100, 20,
     G94&lt;120, 25,
     TRUE, 30)</f>
        <v>10</v>
      </c>
      <c r="P94" cm="1">
        <f t="array" ref="P94">_xlfn.IFS(H94&lt;50, 1,
     H94&lt;70, 1.5,
     H94&lt;100, 2,
     H94&lt;120, 2.5,
     TRUE, 3)</f>
        <v>2</v>
      </c>
      <c r="Q94">
        <f t="shared" si="2"/>
        <v>2</v>
      </c>
      <c r="R94">
        <f t="shared" si="3"/>
        <v>2</v>
      </c>
      <c r="S94">
        <v>10</v>
      </c>
    </row>
    <row r="95" spans="1:19" x14ac:dyDescent="0.3">
      <c r="A95" s="25">
        <v>82</v>
      </c>
      <c r="B95" s="9"/>
      <c r="C95" s="10" t="s">
        <v>90</v>
      </c>
      <c r="D95" s="11">
        <v>50</v>
      </c>
      <c r="E95" s="12">
        <v>60</v>
      </c>
      <c r="F95" s="13">
        <v>95</v>
      </c>
      <c r="G95" s="14">
        <v>70</v>
      </c>
      <c r="H95" s="15">
        <v>120</v>
      </c>
      <c r="I95" s="8">
        <v>395</v>
      </c>
      <c r="J95" s="26">
        <v>79</v>
      </c>
      <c r="L95" cm="1">
        <f t="array" ref="L95">_xlfn.IFS(D95&lt;50, 1,
     D95&lt;70, 1.5,
     D95&lt;100, 2,
     D95&lt;120, 2.5,
     TRUE, 3)</f>
        <v>1.5</v>
      </c>
      <c r="M95" cm="1">
        <f t="array" ref="M95">_xlfn.IFS(E95&lt;50, 1,
     E95&lt;70, 1.5,
     E95&lt;100, 2,
     E95&lt;120, 2.5,
     TRUE, 3)</f>
        <v>1.5</v>
      </c>
      <c r="N95" cm="1">
        <f t="array" ref="N95">_xlfn.IFS(F95&lt;50, 1,
     F95&lt;70, 1.5,
     F95&lt;100, 2,
     F95&lt;120, 2.5,
     TRUE, 3)</f>
        <v>2</v>
      </c>
      <c r="O95" cm="1">
        <f t="array" ref="O95">_xlfn.IFS(G95&lt;50, 10,
     G95&lt;70, 15,
     G95&lt;100, 20,
     G95&lt;120, 25,
     TRUE, 30)</f>
        <v>20</v>
      </c>
      <c r="P95" cm="1">
        <f t="array" ref="P95">_xlfn.IFS(H95&lt;50, 1,
     H95&lt;70, 1.5,
     H95&lt;100, 2,
     H95&lt;120, 2.5,
     TRUE, 3)</f>
        <v>3</v>
      </c>
      <c r="Q95">
        <f t="shared" si="2"/>
        <v>3</v>
      </c>
      <c r="R95">
        <f t="shared" si="3"/>
        <v>3</v>
      </c>
      <c r="S95">
        <v>20</v>
      </c>
    </row>
    <row r="96" spans="1:19" x14ac:dyDescent="0.3">
      <c r="A96" s="25">
        <v>83</v>
      </c>
      <c r="B96" s="9"/>
      <c r="C96" s="10" t="s">
        <v>91</v>
      </c>
      <c r="D96" s="11">
        <v>52</v>
      </c>
      <c r="E96" s="12">
        <v>65</v>
      </c>
      <c r="F96" s="13">
        <v>55</v>
      </c>
      <c r="G96" s="14">
        <v>60</v>
      </c>
      <c r="H96" s="15">
        <v>58</v>
      </c>
      <c r="I96" s="8">
        <v>290</v>
      </c>
      <c r="J96" s="26">
        <v>58</v>
      </c>
      <c r="L96" cm="1">
        <f t="array" ref="L96">_xlfn.IFS(D96&lt;50, 1,
     D96&lt;70, 1.5,
     D96&lt;100, 2,
     D96&lt;120, 2.5,
     TRUE, 3)</f>
        <v>1.5</v>
      </c>
      <c r="M96" cm="1">
        <f t="array" ref="M96">_xlfn.IFS(E96&lt;50, 1,
     E96&lt;70, 1.5,
     E96&lt;100, 2,
     E96&lt;120, 2.5,
     TRUE, 3)</f>
        <v>1.5</v>
      </c>
      <c r="N96" cm="1">
        <f t="array" ref="N96">_xlfn.IFS(F96&lt;50, 1,
     F96&lt;70, 1.5,
     F96&lt;100, 2,
     F96&lt;120, 2.5,
     TRUE, 3)</f>
        <v>1.5</v>
      </c>
      <c r="O96" cm="1">
        <f t="array" ref="O96">_xlfn.IFS(G96&lt;50, 10,
     G96&lt;70, 15,
     G96&lt;100, 20,
     G96&lt;120, 25,
     TRUE, 30)</f>
        <v>15</v>
      </c>
      <c r="P96" cm="1">
        <f t="array" ref="P96">_xlfn.IFS(H96&lt;50, 1,
     H96&lt;70, 1.5,
     H96&lt;100, 2,
     H96&lt;120, 2.5,
     TRUE, 3)</f>
        <v>1.5</v>
      </c>
      <c r="Q96">
        <f t="shared" si="2"/>
        <v>1.5</v>
      </c>
      <c r="R96">
        <f t="shared" si="3"/>
        <v>1.5</v>
      </c>
      <c r="S96">
        <v>15</v>
      </c>
    </row>
    <row r="97" spans="1:19" x14ac:dyDescent="0.3">
      <c r="A97" s="25">
        <v>84</v>
      </c>
      <c r="B97" s="9"/>
      <c r="C97" s="10" t="s">
        <v>92</v>
      </c>
      <c r="D97" s="11">
        <v>35</v>
      </c>
      <c r="E97" s="12">
        <v>85</v>
      </c>
      <c r="F97" s="13">
        <v>45</v>
      </c>
      <c r="G97" s="14">
        <v>75</v>
      </c>
      <c r="H97" s="15">
        <v>35</v>
      </c>
      <c r="I97" s="8">
        <v>275</v>
      </c>
      <c r="J97" s="26">
        <v>55</v>
      </c>
      <c r="L97" cm="1">
        <f t="array" ref="L97">_xlfn.IFS(D97&lt;50, 1,
     D97&lt;70, 1.5,
     D97&lt;100, 2,
     D97&lt;120, 2.5,
     TRUE, 3)</f>
        <v>1</v>
      </c>
      <c r="M97" cm="1">
        <f t="array" ref="M97">_xlfn.IFS(E97&lt;50, 1,
     E97&lt;70, 1.5,
     E97&lt;100, 2,
     E97&lt;120, 2.5,
     TRUE, 3)</f>
        <v>2</v>
      </c>
      <c r="N97" cm="1">
        <f t="array" ref="N97">_xlfn.IFS(F97&lt;50, 1,
     F97&lt;70, 1.5,
     F97&lt;100, 2,
     F97&lt;120, 2.5,
     TRUE, 3)</f>
        <v>1</v>
      </c>
      <c r="O97" cm="1">
        <f t="array" ref="O97">_xlfn.IFS(G97&lt;50, 10,
     G97&lt;70, 15,
     G97&lt;100, 20,
     G97&lt;120, 25,
     TRUE, 30)</f>
        <v>20</v>
      </c>
      <c r="P97" cm="1">
        <f t="array" ref="P97">_xlfn.IFS(H97&lt;50, 1,
     H97&lt;70, 1.5,
     H97&lt;100, 2,
     H97&lt;120, 2.5,
     TRUE, 3)</f>
        <v>1</v>
      </c>
      <c r="Q97">
        <f t="shared" si="2"/>
        <v>2</v>
      </c>
      <c r="R97">
        <f t="shared" si="3"/>
        <v>1</v>
      </c>
      <c r="S97">
        <v>20</v>
      </c>
    </row>
    <row r="98" spans="1:19" x14ac:dyDescent="0.3">
      <c r="A98" s="25">
        <v>85</v>
      </c>
      <c r="B98" s="9"/>
      <c r="C98" s="10" t="s">
        <v>93</v>
      </c>
      <c r="D98" s="11">
        <v>60</v>
      </c>
      <c r="E98" s="12">
        <v>110</v>
      </c>
      <c r="F98" s="13">
        <v>70</v>
      </c>
      <c r="G98" s="14">
        <v>100</v>
      </c>
      <c r="H98" s="15">
        <v>60</v>
      </c>
      <c r="I98" s="8">
        <v>400</v>
      </c>
      <c r="J98" s="26">
        <v>80</v>
      </c>
      <c r="L98" cm="1">
        <f t="array" ref="L98">_xlfn.IFS(D98&lt;50, 1,
     D98&lt;70, 1.5,
     D98&lt;100, 2,
     D98&lt;120, 2.5,
     TRUE, 3)</f>
        <v>1.5</v>
      </c>
      <c r="M98" cm="1">
        <f t="array" ref="M98">_xlfn.IFS(E98&lt;50, 1,
     E98&lt;70, 1.5,
     E98&lt;100, 2,
     E98&lt;120, 2.5,
     TRUE, 3)</f>
        <v>2.5</v>
      </c>
      <c r="N98" cm="1">
        <f t="array" ref="N98">_xlfn.IFS(F98&lt;50, 1,
     F98&lt;70, 1.5,
     F98&lt;100, 2,
     F98&lt;120, 2.5,
     TRUE, 3)</f>
        <v>2</v>
      </c>
      <c r="O98" cm="1">
        <f t="array" ref="O98">_xlfn.IFS(G98&lt;50, 10,
     G98&lt;70, 15,
     G98&lt;100, 20,
     G98&lt;120, 25,
     TRUE, 30)</f>
        <v>25</v>
      </c>
      <c r="P98" cm="1">
        <f t="array" ref="P98">_xlfn.IFS(H98&lt;50, 1,
     H98&lt;70, 1.5,
     H98&lt;100, 2,
     H98&lt;120, 2.5,
     TRUE, 3)</f>
        <v>1.5</v>
      </c>
      <c r="Q98">
        <f t="shared" si="2"/>
        <v>2.5</v>
      </c>
      <c r="R98">
        <f t="shared" si="3"/>
        <v>2</v>
      </c>
      <c r="S98">
        <v>25</v>
      </c>
    </row>
    <row r="99" spans="1:19" x14ac:dyDescent="0.3">
      <c r="A99" s="25">
        <v>86</v>
      </c>
      <c r="B99" s="9"/>
      <c r="C99" s="10" t="s">
        <v>94</v>
      </c>
      <c r="D99" s="11">
        <v>65</v>
      </c>
      <c r="E99" s="12">
        <v>45</v>
      </c>
      <c r="F99" s="13">
        <v>55</v>
      </c>
      <c r="G99" s="14">
        <v>45</v>
      </c>
      <c r="H99" s="15">
        <v>70</v>
      </c>
      <c r="I99" s="8">
        <v>280</v>
      </c>
      <c r="J99" s="26">
        <v>56</v>
      </c>
      <c r="L99" cm="1">
        <f t="array" ref="L99">_xlfn.IFS(D99&lt;50, 1,
     D99&lt;70, 1.5,
     D99&lt;100, 2,
     D99&lt;120, 2.5,
     TRUE, 3)</f>
        <v>1.5</v>
      </c>
      <c r="M99" cm="1">
        <f t="array" ref="M99">_xlfn.IFS(E99&lt;50, 1,
     E99&lt;70, 1.5,
     E99&lt;100, 2,
     E99&lt;120, 2.5,
     TRUE, 3)</f>
        <v>1</v>
      </c>
      <c r="N99" cm="1">
        <f t="array" ref="N99">_xlfn.IFS(F99&lt;50, 1,
     F99&lt;70, 1.5,
     F99&lt;100, 2,
     F99&lt;120, 2.5,
     TRUE, 3)</f>
        <v>1.5</v>
      </c>
      <c r="O99" cm="1">
        <f t="array" ref="O99">_xlfn.IFS(G99&lt;50, 10,
     G99&lt;70, 15,
     G99&lt;100, 20,
     G99&lt;120, 25,
     TRUE, 30)</f>
        <v>10</v>
      </c>
      <c r="P99" cm="1">
        <f t="array" ref="P99">_xlfn.IFS(H99&lt;50, 1,
     H99&lt;70, 1.5,
     H99&lt;100, 2,
     H99&lt;120, 2.5,
     TRUE, 3)</f>
        <v>2</v>
      </c>
      <c r="Q99">
        <f t="shared" si="2"/>
        <v>2</v>
      </c>
      <c r="R99">
        <f t="shared" si="3"/>
        <v>2</v>
      </c>
      <c r="S99">
        <v>10</v>
      </c>
    </row>
    <row r="100" spans="1:19" x14ac:dyDescent="0.3">
      <c r="A100" s="25">
        <v>87</v>
      </c>
      <c r="B100" s="9"/>
      <c r="C100" s="10" t="s">
        <v>95</v>
      </c>
      <c r="D100" s="11">
        <v>90</v>
      </c>
      <c r="E100" s="12">
        <v>70</v>
      </c>
      <c r="F100" s="13">
        <v>80</v>
      </c>
      <c r="G100" s="14">
        <v>70</v>
      </c>
      <c r="H100" s="15">
        <v>95</v>
      </c>
      <c r="I100" s="8">
        <v>405</v>
      </c>
      <c r="J100" s="26">
        <v>81</v>
      </c>
      <c r="L100" cm="1">
        <f t="array" ref="L100">_xlfn.IFS(D100&lt;50, 1,
     D100&lt;70, 1.5,
     D100&lt;100, 2,
     D100&lt;120, 2.5,
     TRUE, 3)</f>
        <v>2</v>
      </c>
      <c r="M100" cm="1">
        <f t="array" ref="M100">_xlfn.IFS(E100&lt;50, 1,
     E100&lt;70, 1.5,
     E100&lt;100, 2,
     E100&lt;120, 2.5,
     TRUE, 3)</f>
        <v>2</v>
      </c>
      <c r="N100" cm="1">
        <f t="array" ref="N100">_xlfn.IFS(F100&lt;50, 1,
     F100&lt;70, 1.5,
     F100&lt;100, 2,
     F100&lt;120, 2.5,
     TRUE, 3)</f>
        <v>2</v>
      </c>
      <c r="O100" cm="1">
        <f t="array" ref="O100">_xlfn.IFS(G100&lt;50, 10,
     G100&lt;70, 15,
     G100&lt;100, 20,
     G100&lt;120, 25,
     TRUE, 30)</f>
        <v>20</v>
      </c>
      <c r="P100" cm="1">
        <f t="array" ref="P100">_xlfn.IFS(H100&lt;50, 1,
     H100&lt;70, 1.5,
     H100&lt;100, 2,
     H100&lt;120, 2.5,
     TRUE, 3)</f>
        <v>2</v>
      </c>
      <c r="Q100">
        <f t="shared" si="2"/>
        <v>2</v>
      </c>
      <c r="R100">
        <f t="shared" si="3"/>
        <v>2</v>
      </c>
      <c r="S100">
        <v>20</v>
      </c>
    </row>
    <row r="101" spans="1:19" x14ac:dyDescent="0.3">
      <c r="A101" s="25">
        <v>88</v>
      </c>
      <c r="B101" s="9"/>
      <c r="C101" s="10" t="s">
        <v>96</v>
      </c>
      <c r="D101" s="11">
        <v>80</v>
      </c>
      <c r="E101" s="12">
        <v>80</v>
      </c>
      <c r="F101" s="13">
        <v>50</v>
      </c>
      <c r="G101" s="14">
        <v>25</v>
      </c>
      <c r="H101" s="15">
        <v>40</v>
      </c>
      <c r="I101" s="8">
        <v>275</v>
      </c>
      <c r="J101" s="26">
        <v>55</v>
      </c>
      <c r="L101" cm="1">
        <f t="array" ref="L101">_xlfn.IFS(D101&lt;50, 1,
     D101&lt;70, 1.5,
     D101&lt;100, 2,
     D101&lt;120, 2.5,
     TRUE, 3)</f>
        <v>2</v>
      </c>
      <c r="M101" cm="1">
        <f t="array" ref="M101">_xlfn.IFS(E101&lt;50, 1,
     E101&lt;70, 1.5,
     E101&lt;100, 2,
     E101&lt;120, 2.5,
     TRUE, 3)</f>
        <v>2</v>
      </c>
      <c r="N101" cm="1">
        <f t="array" ref="N101">_xlfn.IFS(F101&lt;50, 1,
     F101&lt;70, 1.5,
     F101&lt;100, 2,
     F101&lt;120, 2.5,
     TRUE, 3)</f>
        <v>1.5</v>
      </c>
      <c r="O101" cm="1">
        <f t="array" ref="O101">_xlfn.IFS(G101&lt;50, 10,
     G101&lt;70, 15,
     G101&lt;100, 20,
     G101&lt;120, 25,
     TRUE, 30)</f>
        <v>10</v>
      </c>
      <c r="P101" cm="1">
        <f t="array" ref="P101">_xlfn.IFS(H101&lt;50, 1,
     H101&lt;70, 1.5,
     H101&lt;100, 2,
     H101&lt;120, 2.5,
     TRUE, 3)</f>
        <v>1</v>
      </c>
      <c r="Q101">
        <f t="shared" si="2"/>
        <v>2</v>
      </c>
      <c r="R101">
        <f t="shared" si="3"/>
        <v>1.5</v>
      </c>
      <c r="S101">
        <v>10</v>
      </c>
    </row>
    <row r="102" spans="1:19" x14ac:dyDescent="0.3">
      <c r="A102" s="25">
        <v>89</v>
      </c>
      <c r="B102" s="9"/>
      <c r="C102" s="10" t="s">
        <v>97</v>
      </c>
      <c r="D102" s="11">
        <v>105</v>
      </c>
      <c r="E102" s="12">
        <v>105</v>
      </c>
      <c r="F102" s="13">
        <v>75</v>
      </c>
      <c r="G102" s="14">
        <v>50</v>
      </c>
      <c r="H102" s="15">
        <v>65</v>
      </c>
      <c r="I102" s="8">
        <v>400</v>
      </c>
      <c r="J102" s="26">
        <v>80</v>
      </c>
      <c r="L102" cm="1">
        <f t="array" ref="L102">_xlfn.IFS(D102&lt;50, 1,
     D102&lt;70, 1.5,
     D102&lt;100, 2,
     D102&lt;120, 2.5,
     TRUE, 3)</f>
        <v>2.5</v>
      </c>
      <c r="M102" cm="1">
        <f t="array" ref="M102">_xlfn.IFS(E102&lt;50, 1,
     E102&lt;70, 1.5,
     E102&lt;100, 2,
     E102&lt;120, 2.5,
     TRUE, 3)</f>
        <v>2.5</v>
      </c>
      <c r="N102" cm="1">
        <f t="array" ref="N102">_xlfn.IFS(F102&lt;50, 1,
     F102&lt;70, 1.5,
     F102&lt;100, 2,
     F102&lt;120, 2.5,
     TRUE, 3)</f>
        <v>2</v>
      </c>
      <c r="O102" cm="1">
        <f t="array" ref="O102">_xlfn.IFS(G102&lt;50, 10,
     G102&lt;70, 15,
     G102&lt;100, 20,
     G102&lt;120, 25,
     TRUE, 30)</f>
        <v>15</v>
      </c>
      <c r="P102" cm="1">
        <f t="array" ref="P102">_xlfn.IFS(H102&lt;50, 1,
     H102&lt;70, 1.5,
     H102&lt;100, 2,
     H102&lt;120, 2.5,
     TRUE, 3)</f>
        <v>1.5</v>
      </c>
      <c r="Q102">
        <f t="shared" si="2"/>
        <v>2.5</v>
      </c>
      <c r="R102">
        <f t="shared" si="3"/>
        <v>2</v>
      </c>
      <c r="S102">
        <v>15</v>
      </c>
    </row>
    <row r="103" spans="1:19" x14ac:dyDescent="0.3">
      <c r="A103" s="25">
        <v>90</v>
      </c>
      <c r="B103" s="9"/>
      <c r="C103" s="10" t="s">
        <v>98</v>
      </c>
      <c r="D103" s="11">
        <v>30</v>
      </c>
      <c r="E103" s="12">
        <v>65</v>
      </c>
      <c r="F103" s="13">
        <v>100</v>
      </c>
      <c r="G103" s="14">
        <v>40</v>
      </c>
      <c r="H103" s="15">
        <v>45</v>
      </c>
      <c r="I103" s="8">
        <v>280</v>
      </c>
      <c r="J103" s="26">
        <v>56</v>
      </c>
      <c r="L103" cm="1">
        <f t="array" ref="L103">_xlfn.IFS(D103&lt;50, 1,
     D103&lt;70, 1.5,
     D103&lt;100, 2,
     D103&lt;120, 2.5,
     TRUE, 3)</f>
        <v>1</v>
      </c>
      <c r="M103" cm="1">
        <f t="array" ref="M103">_xlfn.IFS(E103&lt;50, 1,
     E103&lt;70, 1.5,
     E103&lt;100, 2,
     E103&lt;120, 2.5,
     TRUE, 3)</f>
        <v>1.5</v>
      </c>
      <c r="N103" cm="1">
        <f t="array" ref="N103">_xlfn.IFS(F103&lt;50, 1,
     F103&lt;70, 1.5,
     F103&lt;100, 2,
     F103&lt;120, 2.5,
     TRUE, 3)</f>
        <v>2.5</v>
      </c>
      <c r="O103" cm="1">
        <f t="array" ref="O103">_xlfn.IFS(G103&lt;50, 10,
     G103&lt;70, 15,
     G103&lt;100, 20,
     G103&lt;120, 25,
     TRUE, 30)</f>
        <v>10</v>
      </c>
      <c r="P103" cm="1">
        <f t="array" ref="P103">_xlfn.IFS(H103&lt;50, 1,
     H103&lt;70, 1.5,
     H103&lt;100, 2,
     H103&lt;120, 2.5,
     TRUE, 3)</f>
        <v>1</v>
      </c>
      <c r="Q103">
        <f t="shared" si="2"/>
        <v>1.5</v>
      </c>
      <c r="R103">
        <f t="shared" si="3"/>
        <v>2.5</v>
      </c>
      <c r="S103">
        <v>10</v>
      </c>
    </row>
    <row r="104" spans="1:19" x14ac:dyDescent="0.3">
      <c r="A104" s="25">
        <v>91</v>
      </c>
      <c r="B104" s="9"/>
      <c r="C104" s="10" t="s">
        <v>99</v>
      </c>
      <c r="D104" s="11">
        <v>50</v>
      </c>
      <c r="E104" s="12">
        <v>95</v>
      </c>
      <c r="F104" s="13">
        <v>180</v>
      </c>
      <c r="G104" s="14">
        <v>70</v>
      </c>
      <c r="H104" s="15">
        <v>85</v>
      </c>
      <c r="I104" s="8">
        <v>480</v>
      </c>
      <c r="J104" s="26">
        <v>96</v>
      </c>
      <c r="L104" cm="1">
        <f t="array" ref="L104">_xlfn.IFS(D104&lt;50, 1,
     D104&lt;70, 1.5,
     D104&lt;100, 2,
     D104&lt;120, 2.5,
     TRUE, 3)</f>
        <v>1.5</v>
      </c>
      <c r="M104" cm="1">
        <f t="array" ref="M104">_xlfn.IFS(E104&lt;50, 1,
     E104&lt;70, 1.5,
     E104&lt;100, 2,
     E104&lt;120, 2.5,
     TRUE, 3)</f>
        <v>2</v>
      </c>
      <c r="N104" cm="1">
        <f t="array" ref="N104">_xlfn.IFS(F104&lt;50, 1,
     F104&lt;70, 1.5,
     F104&lt;100, 2,
     F104&lt;120, 2.5,
     TRUE, 3)</f>
        <v>3</v>
      </c>
      <c r="O104" cm="1">
        <f t="array" ref="O104">_xlfn.IFS(G104&lt;50, 10,
     G104&lt;70, 15,
     G104&lt;100, 20,
     G104&lt;120, 25,
     TRUE, 30)</f>
        <v>20</v>
      </c>
      <c r="P104" cm="1">
        <f t="array" ref="P104">_xlfn.IFS(H104&lt;50, 1,
     H104&lt;70, 1.5,
     H104&lt;100, 2,
     H104&lt;120, 2.5,
     TRUE, 3)</f>
        <v>2</v>
      </c>
      <c r="Q104">
        <f t="shared" si="2"/>
        <v>2</v>
      </c>
      <c r="R104">
        <f t="shared" si="3"/>
        <v>3</v>
      </c>
      <c r="S104">
        <v>20</v>
      </c>
    </row>
    <row r="105" spans="1:19" x14ac:dyDescent="0.3">
      <c r="A105" s="25">
        <v>92</v>
      </c>
      <c r="B105" s="9"/>
      <c r="C105" s="10" t="s">
        <v>100</v>
      </c>
      <c r="D105" s="11">
        <v>30</v>
      </c>
      <c r="E105" s="12">
        <v>35</v>
      </c>
      <c r="F105" s="13">
        <v>30</v>
      </c>
      <c r="G105" s="14">
        <v>80</v>
      </c>
      <c r="H105" s="15">
        <v>100</v>
      </c>
      <c r="I105" s="8">
        <v>275</v>
      </c>
      <c r="J105" s="26">
        <v>55</v>
      </c>
      <c r="L105" cm="1">
        <f t="array" ref="L105">_xlfn.IFS(D105&lt;50, 1,
     D105&lt;70, 1.5,
     D105&lt;100, 2,
     D105&lt;120, 2.5,
     TRUE, 3)</f>
        <v>1</v>
      </c>
      <c r="M105" cm="1">
        <f t="array" ref="M105">_xlfn.IFS(E105&lt;50, 1,
     E105&lt;70, 1.5,
     E105&lt;100, 2,
     E105&lt;120, 2.5,
     TRUE, 3)</f>
        <v>1</v>
      </c>
      <c r="N105" cm="1">
        <f t="array" ref="N105">_xlfn.IFS(F105&lt;50, 1,
     F105&lt;70, 1.5,
     F105&lt;100, 2,
     F105&lt;120, 2.5,
     TRUE, 3)</f>
        <v>1</v>
      </c>
      <c r="O105" cm="1">
        <f t="array" ref="O105">_xlfn.IFS(G105&lt;50, 10,
     G105&lt;70, 15,
     G105&lt;100, 20,
     G105&lt;120, 25,
     TRUE, 30)</f>
        <v>20</v>
      </c>
      <c r="P105" cm="1">
        <f t="array" ref="P105">_xlfn.IFS(H105&lt;50, 1,
     H105&lt;70, 1.5,
     H105&lt;100, 2,
     H105&lt;120, 2.5,
     TRUE, 3)</f>
        <v>2.5</v>
      </c>
      <c r="Q105">
        <f t="shared" si="2"/>
        <v>2.5</v>
      </c>
      <c r="R105">
        <f t="shared" si="3"/>
        <v>2.5</v>
      </c>
      <c r="S105">
        <v>20</v>
      </c>
    </row>
    <row r="106" spans="1:19" x14ac:dyDescent="0.3">
      <c r="A106" s="25">
        <v>93</v>
      </c>
      <c r="B106" s="9"/>
      <c r="C106" s="10" t="s">
        <v>101</v>
      </c>
      <c r="D106" s="11">
        <v>45</v>
      </c>
      <c r="E106" s="12">
        <v>50</v>
      </c>
      <c r="F106" s="13">
        <v>45</v>
      </c>
      <c r="G106" s="14">
        <v>95</v>
      </c>
      <c r="H106" s="15">
        <v>115</v>
      </c>
      <c r="I106" s="8">
        <v>350</v>
      </c>
      <c r="J106" s="26">
        <v>70</v>
      </c>
      <c r="L106" cm="1">
        <f t="array" ref="L106">_xlfn.IFS(D106&lt;50, 1,
     D106&lt;70, 1.5,
     D106&lt;100, 2,
     D106&lt;120, 2.5,
     TRUE, 3)</f>
        <v>1</v>
      </c>
      <c r="M106" cm="1">
        <f t="array" ref="M106">_xlfn.IFS(E106&lt;50, 1,
     E106&lt;70, 1.5,
     E106&lt;100, 2,
     E106&lt;120, 2.5,
     TRUE, 3)</f>
        <v>1.5</v>
      </c>
      <c r="N106" cm="1">
        <f t="array" ref="N106">_xlfn.IFS(F106&lt;50, 1,
     F106&lt;70, 1.5,
     F106&lt;100, 2,
     F106&lt;120, 2.5,
     TRUE, 3)</f>
        <v>1</v>
      </c>
      <c r="O106" cm="1">
        <f t="array" ref="O106">_xlfn.IFS(G106&lt;50, 10,
     G106&lt;70, 15,
     G106&lt;100, 20,
     G106&lt;120, 25,
     TRUE, 30)</f>
        <v>20</v>
      </c>
      <c r="P106" cm="1">
        <f t="array" ref="P106">_xlfn.IFS(H106&lt;50, 1,
     H106&lt;70, 1.5,
     H106&lt;100, 2,
     H106&lt;120, 2.5,
     TRUE, 3)</f>
        <v>2.5</v>
      </c>
      <c r="Q106">
        <f t="shared" si="2"/>
        <v>2.5</v>
      </c>
      <c r="R106">
        <f t="shared" si="3"/>
        <v>2.5</v>
      </c>
      <c r="S106">
        <v>20</v>
      </c>
    </row>
    <row r="107" spans="1:19" x14ac:dyDescent="0.3">
      <c r="A107" s="25">
        <v>94</v>
      </c>
      <c r="B107" s="9"/>
      <c r="C107" s="10" t="s">
        <v>102</v>
      </c>
      <c r="D107" s="11">
        <v>60</v>
      </c>
      <c r="E107" s="12">
        <v>65</v>
      </c>
      <c r="F107" s="13">
        <v>60</v>
      </c>
      <c r="G107" s="14">
        <v>110</v>
      </c>
      <c r="H107" s="15">
        <v>130</v>
      </c>
      <c r="I107" s="8">
        <v>425</v>
      </c>
      <c r="J107" s="26">
        <v>85</v>
      </c>
      <c r="L107" cm="1">
        <f t="array" ref="L107">_xlfn.IFS(D107&lt;50, 1,
     D107&lt;70, 1.5,
     D107&lt;100, 2,
     D107&lt;120, 2.5,
     TRUE, 3)</f>
        <v>1.5</v>
      </c>
      <c r="M107" cm="1">
        <f t="array" ref="M107">_xlfn.IFS(E107&lt;50, 1,
     E107&lt;70, 1.5,
     E107&lt;100, 2,
     E107&lt;120, 2.5,
     TRUE, 3)</f>
        <v>1.5</v>
      </c>
      <c r="N107" cm="1">
        <f t="array" ref="N107">_xlfn.IFS(F107&lt;50, 1,
     F107&lt;70, 1.5,
     F107&lt;100, 2,
     F107&lt;120, 2.5,
     TRUE, 3)</f>
        <v>1.5</v>
      </c>
      <c r="O107" cm="1">
        <f t="array" ref="O107">_xlfn.IFS(G107&lt;50, 10,
     G107&lt;70, 15,
     G107&lt;100, 20,
     G107&lt;120, 25,
     TRUE, 30)</f>
        <v>25</v>
      </c>
      <c r="P107" cm="1">
        <f t="array" ref="P107">_xlfn.IFS(H107&lt;50, 1,
     H107&lt;70, 1.5,
     H107&lt;100, 2,
     H107&lt;120, 2.5,
     TRUE, 3)</f>
        <v>3</v>
      </c>
      <c r="Q107">
        <f t="shared" si="2"/>
        <v>3</v>
      </c>
      <c r="R107">
        <f t="shared" si="3"/>
        <v>3</v>
      </c>
      <c r="S107">
        <v>25</v>
      </c>
    </row>
    <row r="108" spans="1:19" x14ac:dyDescent="0.3">
      <c r="A108" s="25">
        <v>95</v>
      </c>
      <c r="B108" s="9"/>
      <c r="C108" s="10" t="s">
        <v>103</v>
      </c>
      <c r="D108" s="11">
        <v>35</v>
      </c>
      <c r="E108" s="12">
        <v>45</v>
      </c>
      <c r="F108" s="13">
        <v>160</v>
      </c>
      <c r="G108" s="14">
        <v>70</v>
      </c>
      <c r="H108" s="15">
        <v>30</v>
      </c>
      <c r="I108" s="8">
        <v>340</v>
      </c>
      <c r="J108" s="26">
        <v>68</v>
      </c>
      <c r="L108" cm="1">
        <f t="array" ref="L108">_xlfn.IFS(D108&lt;50, 1,
     D108&lt;70, 1.5,
     D108&lt;100, 2,
     D108&lt;120, 2.5,
     TRUE, 3)</f>
        <v>1</v>
      </c>
      <c r="M108" cm="1">
        <f t="array" ref="M108">_xlfn.IFS(E108&lt;50, 1,
     E108&lt;70, 1.5,
     E108&lt;100, 2,
     E108&lt;120, 2.5,
     TRUE, 3)</f>
        <v>1</v>
      </c>
      <c r="N108" cm="1">
        <f t="array" ref="N108">_xlfn.IFS(F108&lt;50, 1,
     F108&lt;70, 1.5,
     F108&lt;100, 2,
     F108&lt;120, 2.5,
     TRUE, 3)</f>
        <v>3</v>
      </c>
      <c r="O108" cm="1">
        <f t="array" ref="O108">_xlfn.IFS(G108&lt;50, 10,
     G108&lt;70, 15,
     G108&lt;100, 20,
     G108&lt;120, 25,
     TRUE, 30)</f>
        <v>20</v>
      </c>
      <c r="P108" cm="1">
        <f t="array" ref="P108">_xlfn.IFS(H108&lt;50, 1,
     H108&lt;70, 1.5,
     H108&lt;100, 2,
     H108&lt;120, 2.5,
     TRUE, 3)</f>
        <v>1</v>
      </c>
      <c r="Q108">
        <f t="shared" si="2"/>
        <v>1</v>
      </c>
      <c r="R108">
        <f t="shared" si="3"/>
        <v>3</v>
      </c>
      <c r="S108">
        <v>20</v>
      </c>
    </row>
    <row r="109" spans="1:19" x14ac:dyDescent="0.3">
      <c r="A109" s="25">
        <v>96</v>
      </c>
      <c r="B109" s="9"/>
      <c r="C109" s="10" t="s">
        <v>104</v>
      </c>
      <c r="D109" s="11">
        <v>60</v>
      </c>
      <c r="E109" s="12">
        <v>48</v>
      </c>
      <c r="F109" s="13">
        <v>45</v>
      </c>
      <c r="G109" s="14">
        <v>42</v>
      </c>
      <c r="H109" s="15">
        <v>90</v>
      </c>
      <c r="I109" s="8">
        <v>285</v>
      </c>
      <c r="J109" s="26">
        <v>57</v>
      </c>
      <c r="L109" cm="1">
        <f t="array" ref="L109">_xlfn.IFS(D109&lt;50, 1,
     D109&lt;70, 1.5,
     D109&lt;100, 2,
     D109&lt;120, 2.5,
     TRUE, 3)</f>
        <v>1.5</v>
      </c>
      <c r="M109" cm="1">
        <f t="array" ref="M109">_xlfn.IFS(E109&lt;50, 1,
     E109&lt;70, 1.5,
     E109&lt;100, 2,
     E109&lt;120, 2.5,
     TRUE, 3)</f>
        <v>1</v>
      </c>
      <c r="N109" cm="1">
        <f t="array" ref="N109">_xlfn.IFS(F109&lt;50, 1,
     F109&lt;70, 1.5,
     F109&lt;100, 2,
     F109&lt;120, 2.5,
     TRUE, 3)</f>
        <v>1</v>
      </c>
      <c r="O109" cm="1">
        <f t="array" ref="O109">_xlfn.IFS(G109&lt;50, 10,
     G109&lt;70, 15,
     G109&lt;100, 20,
     G109&lt;120, 25,
     TRUE, 30)</f>
        <v>10</v>
      </c>
      <c r="P109" cm="1">
        <f t="array" ref="P109">_xlfn.IFS(H109&lt;50, 1,
     H109&lt;70, 1.5,
     H109&lt;100, 2,
     H109&lt;120, 2.5,
     TRUE, 3)</f>
        <v>2</v>
      </c>
      <c r="Q109">
        <f t="shared" si="2"/>
        <v>2</v>
      </c>
      <c r="R109">
        <f t="shared" si="3"/>
        <v>2</v>
      </c>
      <c r="S109">
        <v>10</v>
      </c>
    </row>
    <row r="110" spans="1:19" x14ac:dyDescent="0.3">
      <c r="A110" s="25">
        <v>97</v>
      </c>
      <c r="B110" s="9"/>
      <c r="C110" s="10" t="s">
        <v>105</v>
      </c>
      <c r="D110" s="11">
        <v>85</v>
      </c>
      <c r="E110" s="12">
        <v>73</v>
      </c>
      <c r="F110" s="13">
        <v>70</v>
      </c>
      <c r="G110" s="14">
        <v>67</v>
      </c>
      <c r="H110" s="15">
        <v>115</v>
      </c>
      <c r="I110" s="8">
        <v>410</v>
      </c>
      <c r="J110" s="26">
        <v>82</v>
      </c>
      <c r="L110" cm="1">
        <f t="array" ref="L110">_xlfn.IFS(D110&lt;50, 1,
     D110&lt;70, 1.5,
     D110&lt;100, 2,
     D110&lt;120, 2.5,
     TRUE, 3)</f>
        <v>2</v>
      </c>
      <c r="M110" cm="1">
        <f t="array" ref="M110">_xlfn.IFS(E110&lt;50, 1,
     E110&lt;70, 1.5,
     E110&lt;100, 2,
     E110&lt;120, 2.5,
     TRUE, 3)</f>
        <v>2</v>
      </c>
      <c r="N110" cm="1">
        <f t="array" ref="N110">_xlfn.IFS(F110&lt;50, 1,
     F110&lt;70, 1.5,
     F110&lt;100, 2,
     F110&lt;120, 2.5,
     TRUE, 3)</f>
        <v>2</v>
      </c>
      <c r="O110" cm="1">
        <f t="array" ref="O110">_xlfn.IFS(G110&lt;50, 10,
     G110&lt;70, 15,
     G110&lt;100, 20,
     G110&lt;120, 25,
     TRUE, 30)</f>
        <v>15</v>
      </c>
      <c r="P110" cm="1">
        <f t="array" ref="P110">_xlfn.IFS(H110&lt;50, 1,
     H110&lt;70, 1.5,
     H110&lt;100, 2,
     H110&lt;120, 2.5,
     TRUE, 3)</f>
        <v>2.5</v>
      </c>
      <c r="Q110">
        <f t="shared" si="2"/>
        <v>2.5</v>
      </c>
      <c r="R110">
        <f t="shared" si="3"/>
        <v>2.5</v>
      </c>
      <c r="S110">
        <v>15</v>
      </c>
    </row>
    <row r="111" spans="1:19" x14ac:dyDescent="0.3">
      <c r="A111" s="25">
        <v>98</v>
      </c>
      <c r="B111" s="9"/>
      <c r="C111" s="10" t="s">
        <v>106</v>
      </c>
      <c r="D111" s="11">
        <v>30</v>
      </c>
      <c r="E111" s="12">
        <v>105</v>
      </c>
      <c r="F111" s="13">
        <v>90</v>
      </c>
      <c r="G111" s="14">
        <v>50</v>
      </c>
      <c r="H111" s="15">
        <v>25</v>
      </c>
      <c r="I111" s="8">
        <v>300</v>
      </c>
      <c r="J111" s="26">
        <v>60</v>
      </c>
      <c r="L111" cm="1">
        <f t="array" ref="L111">_xlfn.IFS(D111&lt;50, 1,
     D111&lt;70, 1.5,
     D111&lt;100, 2,
     D111&lt;120, 2.5,
     TRUE, 3)</f>
        <v>1</v>
      </c>
      <c r="M111" cm="1">
        <f t="array" ref="M111">_xlfn.IFS(E111&lt;50, 1,
     E111&lt;70, 1.5,
     E111&lt;100, 2,
     E111&lt;120, 2.5,
     TRUE, 3)</f>
        <v>2.5</v>
      </c>
      <c r="N111" cm="1">
        <f t="array" ref="N111">_xlfn.IFS(F111&lt;50, 1,
     F111&lt;70, 1.5,
     F111&lt;100, 2,
     F111&lt;120, 2.5,
     TRUE, 3)</f>
        <v>2</v>
      </c>
      <c r="O111" cm="1">
        <f t="array" ref="O111">_xlfn.IFS(G111&lt;50, 10,
     G111&lt;70, 15,
     G111&lt;100, 20,
     G111&lt;120, 25,
     TRUE, 30)</f>
        <v>15</v>
      </c>
      <c r="P111" cm="1">
        <f t="array" ref="P111">_xlfn.IFS(H111&lt;50, 1,
     H111&lt;70, 1.5,
     H111&lt;100, 2,
     H111&lt;120, 2.5,
     TRUE, 3)</f>
        <v>1</v>
      </c>
      <c r="Q111">
        <f t="shared" si="2"/>
        <v>2.5</v>
      </c>
      <c r="R111">
        <f t="shared" si="3"/>
        <v>2</v>
      </c>
      <c r="S111">
        <v>15</v>
      </c>
    </row>
    <row r="112" spans="1:19" x14ac:dyDescent="0.3">
      <c r="A112" s="25">
        <v>99</v>
      </c>
      <c r="B112" s="9"/>
      <c r="C112" s="10" t="s">
        <v>107</v>
      </c>
      <c r="D112" s="11">
        <v>55</v>
      </c>
      <c r="E112" s="12">
        <v>130</v>
      </c>
      <c r="F112" s="13">
        <v>115</v>
      </c>
      <c r="G112" s="14">
        <v>75</v>
      </c>
      <c r="H112" s="15">
        <v>50</v>
      </c>
      <c r="I112" s="8">
        <v>425</v>
      </c>
      <c r="J112" s="26">
        <v>85</v>
      </c>
      <c r="L112" cm="1">
        <f t="array" ref="L112">_xlfn.IFS(D112&lt;50, 1,
     D112&lt;70, 1.5,
     D112&lt;100, 2,
     D112&lt;120, 2.5,
     TRUE, 3)</f>
        <v>1.5</v>
      </c>
      <c r="M112" cm="1">
        <f t="array" ref="M112">_xlfn.IFS(E112&lt;50, 1,
     E112&lt;70, 1.5,
     E112&lt;100, 2,
     E112&lt;120, 2.5,
     TRUE, 3)</f>
        <v>3</v>
      </c>
      <c r="N112" cm="1">
        <f t="array" ref="N112">_xlfn.IFS(F112&lt;50, 1,
     F112&lt;70, 1.5,
     F112&lt;100, 2,
     F112&lt;120, 2.5,
     TRUE, 3)</f>
        <v>2.5</v>
      </c>
      <c r="O112" cm="1">
        <f t="array" ref="O112">_xlfn.IFS(G112&lt;50, 10,
     G112&lt;70, 15,
     G112&lt;100, 20,
     G112&lt;120, 25,
     TRUE, 30)</f>
        <v>20</v>
      </c>
      <c r="P112" cm="1">
        <f t="array" ref="P112">_xlfn.IFS(H112&lt;50, 1,
     H112&lt;70, 1.5,
     H112&lt;100, 2,
     H112&lt;120, 2.5,
     TRUE, 3)</f>
        <v>1.5</v>
      </c>
      <c r="Q112">
        <f t="shared" si="2"/>
        <v>3</v>
      </c>
      <c r="R112">
        <f t="shared" si="3"/>
        <v>2.5</v>
      </c>
      <c r="S112">
        <v>20</v>
      </c>
    </row>
    <row r="113" spans="1:19" x14ac:dyDescent="0.3">
      <c r="A113" s="25">
        <v>100</v>
      </c>
      <c r="B113" s="9"/>
      <c r="C113" s="10" t="s">
        <v>108</v>
      </c>
      <c r="D113" s="11">
        <v>40</v>
      </c>
      <c r="E113" s="12">
        <v>30</v>
      </c>
      <c r="F113" s="13">
        <v>50</v>
      </c>
      <c r="G113" s="14">
        <v>100</v>
      </c>
      <c r="H113" s="15">
        <v>55</v>
      </c>
      <c r="I113" s="8">
        <v>275</v>
      </c>
      <c r="J113" s="26">
        <v>55</v>
      </c>
      <c r="L113" cm="1">
        <f t="array" ref="L113">_xlfn.IFS(D113&lt;50, 1,
     D113&lt;70, 1.5,
     D113&lt;100, 2,
     D113&lt;120, 2.5,
     TRUE, 3)</f>
        <v>1</v>
      </c>
      <c r="M113" cm="1">
        <f t="array" ref="M113">_xlfn.IFS(E113&lt;50, 1,
     E113&lt;70, 1.5,
     E113&lt;100, 2,
     E113&lt;120, 2.5,
     TRUE, 3)</f>
        <v>1</v>
      </c>
      <c r="N113" cm="1">
        <f t="array" ref="N113">_xlfn.IFS(F113&lt;50, 1,
     F113&lt;70, 1.5,
     F113&lt;100, 2,
     F113&lt;120, 2.5,
     TRUE, 3)</f>
        <v>1.5</v>
      </c>
      <c r="O113" cm="1">
        <f t="array" ref="O113">_xlfn.IFS(G113&lt;50, 10,
     G113&lt;70, 15,
     G113&lt;100, 20,
     G113&lt;120, 25,
     TRUE, 30)</f>
        <v>25</v>
      </c>
      <c r="P113" cm="1">
        <f t="array" ref="P113">_xlfn.IFS(H113&lt;50, 1,
     H113&lt;70, 1.5,
     H113&lt;100, 2,
     H113&lt;120, 2.5,
     TRUE, 3)</f>
        <v>1.5</v>
      </c>
      <c r="Q113">
        <f t="shared" si="2"/>
        <v>1.5</v>
      </c>
      <c r="R113">
        <f t="shared" si="3"/>
        <v>1.5</v>
      </c>
      <c r="S113">
        <v>25</v>
      </c>
    </row>
    <row r="114" spans="1:19" x14ac:dyDescent="0.3">
      <c r="A114" s="25">
        <v>101</v>
      </c>
      <c r="B114" s="9"/>
      <c r="C114" s="10" t="s">
        <v>109</v>
      </c>
      <c r="D114" s="11">
        <v>60</v>
      </c>
      <c r="E114" s="12">
        <v>50</v>
      </c>
      <c r="F114" s="13">
        <v>70</v>
      </c>
      <c r="G114" s="14">
        <v>140</v>
      </c>
      <c r="H114" s="15">
        <v>80</v>
      </c>
      <c r="I114" s="8">
        <v>400</v>
      </c>
      <c r="J114" s="26">
        <v>80</v>
      </c>
      <c r="L114" cm="1">
        <f t="array" ref="L114">_xlfn.IFS(D114&lt;50, 1,
     D114&lt;70, 1.5,
     D114&lt;100, 2,
     D114&lt;120, 2.5,
     TRUE, 3)</f>
        <v>1.5</v>
      </c>
      <c r="M114" cm="1">
        <f t="array" ref="M114">_xlfn.IFS(E114&lt;50, 1,
     E114&lt;70, 1.5,
     E114&lt;100, 2,
     E114&lt;120, 2.5,
     TRUE, 3)</f>
        <v>1.5</v>
      </c>
      <c r="N114" cm="1">
        <f t="array" ref="N114">_xlfn.IFS(F114&lt;50, 1,
     F114&lt;70, 1.5,
     F114&lt;100, 2,
     F114&lt;120, 2.5,
     TRUE, 3)</f>
        <v>2</v>
      </c>
      <c r="O114" cm="1">
        <f t="array" ref="O114">_xlfn.IFS(G114&lt;50, 10,
     G114&lt;70, 15,
     G114&lt;100, 20,
     G114&lt;120, 25,
     TRUE, 30)</f>
        <v>30</v>
      </c>
      <c r="P114" cm="1">
        <f t="array" ref="P114">_xlfn.IFS(H114&lt;50, 1,
     H114&lt;70, 1.5,
     H114&lt;100, 2,
     H114&lt;120, 2.5,
     TRUE, 3)</f>
        <v>2</v>
      </c>
      <c r="Q114">
        <f t="shared" si="2"/>
        <v>2</v>
      </c>
      <c r="R114">
        <f t="shared" si="3"/>
        <v>2</v>
      </c>
      <c r="S114">
        <v>30</v>
      </c>
    </row>
    <row r="115" spans="1:19" x14ac:dyDescent="0.3">
      <c r="A115" s="25">
        <v>102</v>
      </c>
      <c r="B115" s="9"/>
      <c r="C115" s="10" t="s">
        <v>110</v>
      </c>
      <c r="D115" s="11">
        <v>60</v>
      </c>
      <c r="E115" s="12">
        <v>40</v>
      </c>
      <c r="F115" s="13">
        <v>80</v>
      </c>
      <c r="G115" s="14">
        <v>40</v>
      </c>
      <c r="H115" s="15">
        <v>60</v>
      </c>
      <c r="I115" s="8">
        <v>280</v>
      </c>
      <c r="J115" s="26">
        <v>56</v>
      </c>
      <c r="L115" cm="1">
        <f t="array" ref="L115">_xlfn.IFS(D115&lt;50, 1,
     D115&lt;70, 1.5,
     D115&lt;100, 2,
     D115&lt;120, 2.5,
     TRUE, 3)</f>
        <v>1.5</v>
      </c>
      <c r="M115" cm="1">
        <f t="array" ref="M115">_xlfn.IFS(E115&lt;50, 1,
     E115&lt;70, 1.5,
     E115&lt;100, 2,
     E115&lt;120, 2.5,
     TRUE, 3)</f>
        <v>1</v>
      </c>
      <c r="N115" cm="1">
        <f t="array" ref="N115">_xlfn.IFS(F115&lt;50, 1,
     F115&lt;70, 1.5,
     F115&lt;100, 2,
     F115&lt;120, 2.5,
     TRUE, 3)</f>
        <v>2</v>
      </c>
      <c r="O115" cm="1">
        <f t="array" ref="O115">_xlfn.IFS(G115&lt;50, 10,
     G115&lt;70, 15,
     G115&lt;100, 20,
     G115&lt;120, 25,
     TRUE, 30)</f>
        <v>10</v>
      </c>
      <c r="P115" cm="1">
        <f t="array" ref="P115">_xlfn.IFS(H115&lt;50, 1,
     H115&lt;70, 1.5,
     H115&lt;100, 2,
     H115&lt;120, 2.5,
     TRUE, 3)</f>
        <v>1.5</v>
      </c>
      <c r="Q115">
        <f t="shared" si="2"/>
        <v>1.5</v>
      </c>
      <c r="R115">
        <f t="shared" si="3"/>
        <v>2</v>
      </c>
      <c r="S115">
        <v>10</v>
      </c>
    </row>
    <row r="116" spans="1:19" x14ac:dyDescent="0.3">
      <c r="A116" s="25">
        <v>103</v>
      </c>
      <c r="B116" s="9"/>
      <c r="C116" s="10" t="s">
        <v>111</v>
      </c>
      <c r="D116" s="11">
        <v>95</v>
      </c>
      <c r="E116" s="12">
        <v>95</v>
      </c>
      <c r="F116" s="13">
        <v>85</v>
      </c>
      <c r="G116" s="14">
        <v>55</v>
      </c>
      <c r="H116" s="15">
        <v>125</v>
      </c>
      <c r="I116" s="8">
        <v>455</v>
      </c>
      <c r="J116" s="26">
        <v>91</v>
      </c>
      <c r="L116" cm="1">
        <f t="array" ref="L116">_xlfn.IFS(D116&lt;50, 1,
     D116&lt;70, 1.5,
     D116&lt;100, 2,
     D116&lt;120, 2.5,
     TRUE, 3)</f>
        <v>2</v>
      </c>
      <c r="M116" cm="1">
        <f t="array" ref="M116">_xlfn.IFS(E116&lt;50, 1,
     E116&lt;70, 1.5,
     E116&lt;100, 2,
     E116&lt;120, 2.5,
     TRUE, 3)</f>
        <v>2</v>
      </c>
      <c r="N116" cm="1">
        <f t="array" ref="N116">_xlfn.IFS(F116&lt;50, 1,
     F116&lt;70, 1.5,
     F116&lt;100, 2,
     F116&lt;120, 2.5,
     TRUE, 3)</f>
        <v>2</v>
      </c>
      <c r="O116" cm="1">
        <f t="array" ref="O116">_xlfn.IFS(G116&lt;50, 10,
     G116&lt;70, 15,
     G116&lt;100, 20,
     G116&lt;120, 25,
     TRUE, 30)</f>
        <v>15</v>
      </c>
      <c r="P116" cm="1">
        <f t="array" ref="P116">_xlfn.IFS(H116&lt;50, 1,
     H116&lt;70, 1.5,
     H116&lt;100, 2,
     H116&lt;120, 2.5,
     TRUE, 3)</f>
        <v>3</v>
      </c>
      <c r="Q116">
        <f t="shared" si="2"/>
        <v>3</v>
      </c>
      <c r="R116">
        <f t="shared" si="3"/>
        <v>3</v>
      </c>
      <c r="S116">
        <v>15</v>
      </c>
    </row>
    <row r="117" spans="1:19" x14ac:dyDescent="0.3">
      <c r="A117" s="25">
        <v>104</v>
      </c>
      <c r="B117" s="9"/>
      <c r="C117" s="10" t="s">
        <v>112</v>
      </c>
      <c r="D117" s="11">
        <v>50</v>
      </c>
      <c r="E117" s="12">
        <v>50</v>
      </c>
      <c r="F117" s="13">
        <v>95</v>
      </c>
      <c r="G117" s="14">
        <v>35</v>
      </c>
      <c r="H117" s="15">
        <v>40</v>
      </c>
      <c r="I117" s="8">
        <v>270</v>
      </c>
      <c r="J117" s="26">
        <v>54</v>
      </c>
      <c r="L117" cm="1">
        <f t="array" ref="L117">_xlfn.IFS(D117&lt;50, 1,
     D117&lt;70, 1.5,
     D117&lt;100, 2,
     D117&lt;120, 2.5,
     TRUE, 3)</f>
        <v>1.5</v>
      </c>
      <c r="M117" cm="1">
        <f t="array" ref="M117">_xlfn.IFS(E117&lt;50, 1,
     E117&lt;70, 1.5,
     E117&lt;100, 2,
     E117&lt;120, 2.5,
     TRUE, 3)</f>
        <v>1.5</v>
      </c>
      <c r="N117" cm="1">
        <f t="array" ref="N117">_xlfn.IFS(F117&lt;50, 1,
     F117&lt;70, 1.5,
     F117&lt;100, 2,
     F117&lt;120, 2.5,
     TRUE, 3)</f>
        <v>2</v>
      </c>
      <c r="O117" cm="1">
        <f t="array" ref="O117">_xlfn.IFS(G117&lt;50, 10,
     G117&lt;70, 15,
     G117&lt;100, 20,
     G117&lt;120, 25,
     TRUE, 30)</f>
        <v>10</v>
      </c>
      <c r="P117" cm="1">
        <f t="array" ref="P117">_xlfn.IFS(H117&lt;50, 1,
     H117&lt;70, 1.5,
     H117&lt;100, 2,
     H117&lt;120, 2.5,
     TRUE, 3)</f>
        <v>1</v>
      </c>
      <c r="Q117">
        <f t="shared" si="2"/>
        <v>1.5</v>
      </c>
      <c r="R117">
        <f t="shared" si="3"/>
        <v>2</v>
      </c>
      <c r="S117">
        <v>10</v>
      </c>
    </row>
    <row r="118" spans="1:19" x14ac:dyDescent="0.3">
      <c r="A118" s="25">
        <v>105</v>
      </c>
      <c r="B118" s="9"/>
      <c r="C118" s="10" t="s">
        <v>113</v>
      </c>
      <c r="D118" s="11">
        <v>60</v>
      </c>
      <c r="E118" s="12">
        <v>80</v>
      </c>
      <c r="F118" s="13">
        <v>110</v>
      </c>
      <c r="G118" s="14">
        <v>45</v>
      </c>
      <c r="H118" s="15">
        <v>50</v>
      </c>
      <c r="I118" s="8">
        <v>345</v>
      </c>
      <c r="J118" s="26">
        <v>69</v>
      </c>
      <c r="L118" cm="1">
        <f t="array" ref="L118">_xlfn.IFS(D118&lt;50, 1,
     D118&lt;70, 1.5,
     D118&lt;100, 2,
     D118&lt;120, 2.5,
     TRUE, 3)</f>
        <v>1.5</v>
      </c>
      <c r="M118" cm="1">
        <f t="array" ref="M118">_xlfn.IFS(E118&lt;50, 1,
     E118&lt;70, 1.5,
     E118&lt;100, 2,
     E118&lt;120, 2.5,
     TRUE, 3)</f>
        <v>2</v>
      </c>
      <c r="N118" cm="1">
        <f t="array" ref="N118">_xlfn.IFS(F118&lt;50, 1,
     F118&lt;70, 1.5,
     F118&lt;100, 2,
     F118&lt;120, 2.5,
     TRUE, 3)</f>
        <v>2.5</v>
      </c>
      <c r="O118" cm="1">
        <f t="array" ref="O118">_xlfn.IFS(G118&lt;50, 10,
     G118&lt;70, 15,
     G118&lt;100, 20,
     G118&lt;120, 25,
     TRUE, 30)</f>
        <v>10</v>
      </c>
      <c r="P118" cm="1">
        <f t="array" ref="P118">_xlfn.IFS(H118&lt;50, 1,
     H118&lt;70, 1.5,
     H118&lt;100, 2,
     H118&lt;120, 2.5,
     TRUE, 3)</f>
        <v>1.5</v>
      </c>
      <c r="Q118">
        <f t="shared" si="2"/>
        <v>2</v>
      </c>
      <c r="R118">
        <f t="shared" si="3"/>
        <v>2.5</v>
      </c>
      <c r="S118">
        <v>10</v>
      </c>
    </row>
    <row r="119" spans="1:19" x14ac:dyDescent="0.3">
      <c r="A119" s="25">
        <v>106</v>
      </c>
      <c r="B119" s="9"/>
      <c r="C119" s="10" t="s">
        <v>114</v>
      </c>
      <c r="D119" s="11">
        <v>50</v>
      </c>
      <c r="E119" s="12">
        <v>120</v>
      </c>
      <c r="F119" s="13">
        <v>53</v>
      </c>
      <c r="G119" s="14">
        <v>87</v>
      </c>
      <c r="H119" s="15">
        <v>35</v>
      </c>
      <c r="I119" s="8">
        <v>345</v>
      </c>
      <c r="J119" s="26">
        <v>69</v>
      </c>
      <c r="L119" cm="1">
        <f t="array" ref="L119">_xlfn.IFS(D119&lt;50, 1,
     D119&lt;70, 1.5,
     D119&lt;100, 2,
     D119&lt;120, 2.5,
     TRUE, 3)</f>
        <v>1.5</v>
      </c>
      <c r="M119" cm="1">
        <f t="array" ref="M119">_xlfn.IFS(E119&lt;50, 1,
     E119&lt;70, 1.5,
     E119&lt;100, 2,
     E119&lt;120, 2.5,
     TRUE, 3)</f>
        <v>3</v>
      </c>
      <c r="N119" cm="1">
        <f t="array" ref="N119">_xlfn.IFS(F119&lt;50, 1,
     F119&lt;70, 1.5,
     F119&lt;100, 2,
     F119&lt;120, 2.5,
     TRUE, 3)</f>
        <v>1.5</v>
      </c>
      <c r="O119" cm="1">
        <f t="array" ref="O119">_xlfn.IFS(G119&lt;50, 10,
     G119&lt;70, 15,
     G119&lt;100, 20,
     G119&lt;120, 25,
     TRUE, 30)</f>
        <v>20</v>
      </c>
      <c r="P119" cm="1">
        <f t="array" ref="P119">_xlfn.IFS(H119&lt;50, 1,
     H119&lt;70, 1.5,
     H119&lt;100, 2,
     H119&lt;120, 2.5,
     TRUE, 3)</f>
        <v>1</v>
      </c>
      <c r="Q119">
        <f t="shared" si="2"/>
        <v>3</v>
      </c>
      <c r="R119">
        <f t="shared" si="3"/>
        <v>1.5</v>
      </c>
      <c r="S119">
        <v>20</v>
      </c>
    </row>
    <row r="120" spans="1:19" x14ac:dyDescent="0.3">
      <c r="A120" s="25">
        <v>107</v>
      </c>
      <c r="B120" s="9"/>
      <c r="C120" s="10" t="s">
        <v>115</v>
      </c>
      <c r="D120" s="11">
        <v>50</v>
      </c>
      <c r="E120" s="12">
        <v>105</v>
      </c>
      <c r="F120" s="13">
        <v>79</v>
      </c>
      <c r="G120" s="14">
        <v>76</v>
      </c>
      <c r="H120" s="15">
        <v>35</v>
      </c>
      <c r="I120" s="8">
        <v>345</v>
      </c>
      <c r="J120" s="26">
        <v>69</v>
      </c>
      <c r="L120" cm="1">
        <f t="array" ref="L120">_xlfn.IFS(D120&lt;50, 1,
     D120&lt;70, 1.5,
     D120&lt;100, 2,
     D120&lt;120, 2.5,
     TRUE, 3)</f>
        <v>1.5</v>
      </c>
      <c r="M120" cm="1">
        <f t="array" ref="M120">_xlfn.IFS(E120&lt;50, 1,
     E120&lt;70, 1.5,
     E120&lt;100, 2,
     E120&lt;120, 2.5,
     TRUE, 3)</f>
        <v>2.5</v>
      </c>
      <c r="N120" cm="1">
        <f t="array" ref="N120">_xlfn.IFS(F120&lt;50, 1,
     F120&lt;70, 1.5,
     F120&lt;100, 2,
     F120&lt;120, 2.5,
     TRUE, 3)</f>
        <v>2</v>
      </c>
      <c r="O120" cm="1">
        <f t="array" ref="O120">_xlfn.IFS(G120&lt;50, 10,
     G120&lt;70, 15,
     G120&lt;100, 20,
     G120&lt;120, 25,
     TRUE, 30)</f>
        <v>20</v>
      </c>
      <c r="P120" cm="1">
        <f t="array" ref="P120">_xlfn.IFS(H120&lt;50, 1,
     H120&lt;70, 1.5,
     H120&lt;100, 2,
     H120&lt;120, 2.5,
     TRUE, 3)</f>
        <v>1</v>
      </c>
      <c r="Q120">
        <f t="shared" si="2"/>
        <v>2.5</v>
      </c>
      <c r="R120">
        <f t="shared" si="3"/>
        <v>2</v>
      </c>
      <c r="S120">
        <v>20</v>
      </c>
    </row>
    <row r="121" spans="1:19" x14ac:dyDescent="0.3">
      <c r="A121" s="25">
        <v>108</v>
      </c>
      <c r="B121" s="9"/>
      <c r="C121" s="10" t="s">
        <v>116</v>
      </c>
      <c r="D121" s="11">
        <v>90</v>
      </c>
      <c r="E121" s="12">
        <v>55</v>
      </c>
      <c r="F121" s="13">
        <v>75</v>
      </c>
      <c r="G121" s="14">
        <v>30</v>
      </c>
      <c r="H121" s="15">
        <v>60</v>
      </c>
      <c r="I121" s="8">
        <v>310</v>
      </c>
      <c r="J121" s="26">
        <v>62</v>
      </c>
      <c r="L121" cm="1">
        <f t="array" ref="L121">_xlfn.IFS(D121&lt;50, 1,
     D121&lt;70, 1.5,
     D121&lt;100, 2,
     D121&lt;120, 2.5,
     TRUE, 3)</f>
        <v>2</v>
      </c>
      <c r="M121" cm="1">
        <f t="array" ref="M121">_xlfn.IFS(E121&lt;50, 1,
     E121&lt;70, 1.5,
     E121&lt;100, 2,
     E121&lt;120, 2.5,
     TRUE, 3)</f>
        <v>1.5</v>
      </c>
      <c r="N121" cm="1">
        <f t="array" ref="N121">_xlfn.IFS(F121&lt;50, 1,
     F121&lt;70, 1.5,
     F121&lt;100, 2,
     F121&lt;120, 2.5,
     TRUE, 3)</f>
        <v>2</v>
      </c>
      <c r="O121" cm="1">
        <f t="array" ref="O121">_xlfn.IFS(G121&lt;50, 10,
     G121&lt;70, 15,
     G121&lt;100, 20,
     G121&lt;120, 25,
     TRUE, 30)</f>
        <v>10</v>
      </c>
      <c r="P121" cm="1">
        <f t="array" ref="P121">_xlfn.IFS(H121&lt;50, 1,
     H121&lt;70, 1.5,
     H121&lt;100, 2,
     H121&lt;120, 2.5,
     TRUE, 3)</f>
        <v>1.5</v>
      </c>
      <c r="Q121">
        <f t="shared" si="2"/>
        <v>1.5</v>
      </c>
      <c r="R121">
        <f t="shared" si="3"/>
        <v>2</v>
      </c>
      <c r="S121">
        <v>10</v>
      </c>
    </row>
    <row r="122" spans="1:19" x14ac:dyDescent="0.3">
      <c r="A122" s="25">
        <v>109</v>
      </c>
      <c r="B122" s="9"/>
      <c r="C122" s="10" t="s">
        <v>117</v>
      </c>
      <c r="D122" s="11">
        <v>40</v>
      </c>
      <c r="E122" s="12">
        <v>65</v>
      </c>
      <c r="F122" s="13">
        <v>95</v>
      </c>
      <c r="G122" s="14">
        <v>35</v>
      </c>
      <c r="H122" s="15">
        <v>60</v>
      </c>
      <c r="I122" s="8">
        <v>295</v>
      </c>
      <c r="J122" s="26">
        <v>59</v>
      </c>
      <c r="L122" cm="1">
        <f t="array" ref="L122">_xlfn.IFS(D122&lt;50, 1,
     D122&lt;70, 1.5,
     D122&lt;100, 2,
     D122&lt;120, 2.5,
     TRUE, 3)</f>
        <v>1</v>
      </c>
      <c r="M122" cm="1">
        <f t="array" ref="M122">_xlfn.IFS(E122&lt;50, 1,
     E122&lt;70, 1.5,
     E122&lt;100, 2,
     E122&lt;120, 2.5,
     TRUE, 3)</f>
        <v>1.5</v>
      </c>
      <c r="N122" cm="1">
        <f t="array" ref="N122">_xlfn.IFS(F122&lt;50, 1,
     F122&lt;70, 1.5,
     F122&lt;100, 2,
     F122&lt;120, 2.5,
     TRUE, 3)</f>
        <v>2</v>
      </c>
      <c r="O122" cm="1">
        <f t="array" ref="O122">_xlfn.IFS(G122&lt;50, 10,
     G122&lt;70, 15,
     G122&lt;100, 20,
     G122&lt;120, 25,
     TRUE, 30)</f>
        <v>10</v>
      </c>
      <c r="P122" cm="1">
        <f t="array" ref="P122">_xlfn.IFS(H122&lt;50, 1,
     H122&lt;70, 1.5,
     H122&lt;100, 2,
     H122&lt;120, 2.5,
     TRUE, 3)</f>
        <v>1.5</v>
      </c>
      <c r="Q122">
        <f t="shared" si="2"/>
        <v>1.5</v>
      </c>
      <c r="R122">
        <f t="shared" si="3"/>
        <v>2</v>
      </c>
      <c r="S122">
        <v>10</v>
      </c>
    </row>
    <row r="123" spans="1:19" x14ac:dyDescent="0.3">
      <c r="A123" s="25">
        <v>110</v>
      </c>
      <c r="B123" s="9"/>
      <c r="C123" s="10" t="s">
        <v>118</v>
      </c>
      <c r="D123" s="11">
        <v>65</v>
      </c>
      <c r="E123" s="12">
        <v>90</v>
      </c>
      <c r="F123" s="13">
        <v>120</v>
      </c>
      <c r="G123" s="14">
        <v>60</v>
      </c>
      <c r="H123" s="15">
        <v>85</v>
      </c>
      <c r="I123" s="8">
        <v>420</v>
      </c>
      <c r="J123" s="26">
        <v>84</v>
      </c>
      <c r="L123" cm="1">
        <f t="array" ref="L123">_xlfn.IFS(D123&lt;50, 1,
     D123&lt;70, 1.5,
     D123&lt;100, 2,
     D123&lt;120, 2.5,
     TRUE, 3)</f>
        <v>1.5</v>
      </c>
      <c r="M123" cm="1">
        <f t="array" ref="M123">_xlfn.IFS(E123&lt;50, 1,
     E123&lt;70, 1.5,
     E123&lt;100, 2,
     E123&lt;120, 2.5,
     TRUE, 3)</f>
        <v>2</v>
      </c>
      <c r="N123" cm="1">
        <f t="array" ref="N123">_xlfn.IFS(F123&lt;50, 1,
     F123&lt;70, 1.5,
     F123&lt;100, 2,
     F123&lt;120, 2.5,
     TRUE, 3)</f>
        <v>3</v>
      </c>
      <c r="O123" cm="1">
        <f t="array" ref="O123">_xlfn.IFS(G123&lt;50, 10,
     G123&lt;70, 15,
     G123&lt;100, 20,
     G123&lt;120, 25,
     TRUE, 30)</f>
        <v>15</v>
      </c>
      <c r="P123" cm="1">
        <f t="array" ref="P123">_xlfn.IFS(H123&lt;50, 1,
     H123&lt;70, 1.5,
     H123&lt;100, 2,
     H123&lt;120, 2.5,
     TRUE, 3)</f>
        <v>2</v>
      </c>
      <c r="Q123">
        <f t="shared" si="2"/>
        <v>2</v>
      </c>
      <c r="R123">
        <f t="shared" si="3"/>
        <v>3</v>
      </c>
      <c r="S123">
        <v>15</v>
      </c>
    </row>
    <row r="124" spans="1:19" x14ac:dyDescent="0.3">
      <c r="A124" s="25">
        <v>111</v>
      </c>
      <c r="B124" s="9"/>
      <c r="C124" s="10" t="s">
        <v>119</v>
      </c>
      <c r="D124" s="11">
        <v>80</v>
      </c>
      <c r="E124" s="12">
        <v>85</v>
      </c>
      <c r="F124" s="13">
        <v>95</v>
      </c>
      <c r="G124" s="14">
        <v>25</v>
      </c>
      <c r="H124" s="15">
        <v>30</v>
      </c>
      <c r="I124" s="8">
        <v>315</v>
      </c>
      <c r="J124" s="26">
        <v>63</v>
      </c>
      <c r="L124" cm="1">
        <f t="array" ref="L124">_xlfn.IFS(D124&lt;50, 1,
     D124&lt;70, 1.5,
     D124&lt;100, 2,
     D124&lt;120, 2.5,
     TRUE, 3)</f>
        <v>2</v>
      </c>
      <c r="M124" cm="1">
        <f t="array" ref="M124">_xlfn.IFS(E124&lt;50, 1,
     E124&lt;70, 1.5,
     E124&lt;100, 2,
     E124&lt;120, 2.5,
     TRUE, 3)</f>
        <v>2</v>
      </c>
      <c r="N124" cm="1">
        <f t="array" ref="N124">_xlfn.IFS(F124&lt;50, 1,
     F124&lt;70, 1.5,
     F124&lt;100, 2,
     F124&lt;120, 2.5,
     TRUE, 3)</f>
        <v>2</v>
      </c>
      <c r="O124" cm="1">
        <f t="array" ref="O124">_xlfn.IFS(G124&lt;50, 10,
     G124&lt;70, 15,
     G124&lt;100, 20,
     G124&lt;120, 25,
     TRUE, 30)</f>
        <v>10</v>
      </c>
      <c r="P124" cm="1">
        <f t="array" ref="P124">_xlfn.IFS(H124&lt;50, 1,
     H124&lt;70, 1.5,
     H124&lt;100, 2,
     H124&lt;120, 2.5,
     TRUE, 3)</f>
        <v>1</v>
      </c>
      <c r="Q124">
        <f t="shared" si="2"/>
        <v>2</v>
      </c>
      <c r="R124">
        <f t="shared" si="3"/>
        <v>2</v>
      </c>
      <c r="S124">
        <v>10</v>
      </c>
    </row>
    <row r="125" spans="1:19" x14ac:dyDescent="0.3">
      <c r="A125" s="25">
        <v>112</v>
      </c>
      <c r="B125" s="9"/>
      <c r="C125" s="10" t="s">
        <v>120</v>
      </c>
      <c r="D125" s="11">
        <v>105</v>
      </c>
      <c r="E125" s="12">
        <v>130</v>
      </c>
      <c r="F125" s="13">
        <v>120</v>
      </c>
      <c r="G125" s="14">
        <v>40</v>
      </c>
      <c r="H125" s="15">
        <v>45</v>
      </c>
      <c r="I125" s="8">
        <v>440</v>
      </c>
      <c r="J125" s="26">
        <v>88</v>
      </c>
      <c r="L125" cm="1">
        <f t="array" ref="L125">_xlfn.IFS(D125&lt;50, 1,
     D125&lt;70, 1.5,
     D125&lt;100, 2,
     D125&lt;120, 2.5,
     TRUE, 3)</f>
        <v>2.5</v>
      </c>
      <c r="M125" cm="1">
        <f t="array" ref="M125">_xlfn.IFS(E125&lt;50, 1,
     E125&lt;70, 1.5,
     E125&lt;100, 2,
     E125&lt;120, 2.5,
     TRUE, 3)</f>
        <v>3</v>
      </c>
      <c r="N125" cm="1">
        <f t="array" ref="N125">_xlfn.IFS(F125&lt;50, 1,
     F125&lt;70, 1.5,
     F125&lt;100, 2,
     F125&lt;120, 2.5,
     TRUE, 3)</f>
        <v>3</v>
      </c>
      <c r="O125" cm="1">
        <f t="array" ref="O125">_xlfn.IFS(G125&lt;50, 10,
     G125&lt;70, 15,
     G125&lt;100, 20,
     G125&lt;120, 25,
     TRUE, 30)</f>
        <v>10</v>
      </c>
      <c r="P125" cm="1">
        <f t="array" ref="P125">_xlfn.IFS(H125&lt;50, 1,
     H125&lt;70, 1.5,
     H125&lt;100, 2,
     H125&lt;120, 2.5,
     TRUE, 3)</f>
        <v>1</v>
      </c>
      <c r="Q125">
        <f t="shared" si="2"/>
        <v>3</v>
      </c>
      <c r="R125">
        <f t="shared" si="3"/>
        <v>3</v>
      </c>
      <c r="S125">
        <v>10</v>
      </c>
    </row>
    <row r="126" spans="1:19" x14ac:dyDescent="0.3">
      <c r="A126" s="25">
        <v>113</v>
      </c>
      <c r="B126" s="9"/>
      <c r="C126" s="10" t="s">
        <v>121</v>
      </c>
      <c r="D126" s="11">
        <v>250</v>
      </c>
      <c r="E126" s="12">
        <v>5</v>
      </c>
      <c r="F126" s="13">
        <v>5</v>
      </c>
      <c r="G126" s="14">
        <v>50</v>
      </c>
      <c r="H126" s="15">
        <v>105</v>
      </c>
      <c r="I126" s="8">
        <v>415</v>
      </c>
      <c r="J126" s="26">
        <v>83</v>
      </c>
      <c r="L126" cm="1">
        <f t="array" ref="L126">_xlfn.IFS(D126&lt;50, 1,
     D126&lt;70, 1.5,
     D126&lt;100, 2,
     D126&lt;120, 2.5,
     TRUE, 3)</f>
        <v>3</v>
      </c>
      <c r="M126" cm="1">
        <f t="array" ref="M126">_xlfn.IFS(E126&lt;50, 1,
     E126&lt;70, 1.5,
     E126&lt;100, 2,
     E126&lt;120, 2.5,
     TRUE, 3)</f>
        <v>1</v>
      </c>
      <c r="N126" cm="1">
        <f t="array" ref="N126">_xlfn.IFS(F126&lt;50, 1,
     F126&lt;70, 1.5,
     F126&lt;100, 2,
     F126&lt;120, 2.5,
     TRUE, 3)</f>
        <v>1</v>
      </c>
      <c r="O126" cm="1">
        <f t="array" ref="O126">_xlfn.IFS(G126&lt;50, 10,
     G126&lt;70, 15,
     G126&lt;100, 20,
     G126&lt;120, 25,
     TRUE, 30)</f>
        <v>15</v>
      </c>
      <c r="P126" cm="1">
        <f t="array" ref="P126">_xlfn.IFS(H126&lt;50, 1,
     H126&lt;70, 1.5,
     H126&lt;100, 2,
     H126&lt;120, 2.5,
     TRUE, 3)</f>
        <v>2.5</v>
      </c>
      <c r="Q126">
        <f t="shared" si="2"/>
        <v>2.5</v>
      </c>
      <c r="R126">
        <f t="shared" si="3"/>
        <v>2.5</v>
      </c>
      <c r="S126">
        <v>15</v>
      </c>
    </row>
    <row r="127" spans="1:19" x14ac:dyDescent="0.3">
      <c r="A127" s="25">
        <v>114</v>
      </c>
      <c r="B127" s="9"/>
      <c r="C127" s="10" t="s">
        <v>122</v>
      </c>
      <c r="D127" s="11">
        <v>65</v>
      </c>
      <c r="E127" s="12">
        <v>55</v>
      </c>
      <c r="F127" s="13">
        <v>115</v>
      </c>
      <c r="G127" s="14">
        <v>60</v>
      </c>
      <c r="H127" s="15">
        <v>100</v>
      </c>
      <c r="I127" s="8">
        <v>395</v>
      </c>
      <c r="J127" s="26">
        <v>79</v>
      </c>
      <c r="L127" cm="1">
        <f t="array" ref="L127">_xlfn.IFS(D127&lt;50, 1,
     D127&lt;70, 1.5,
     D127&lt;100, 2,
     D127&lt;120, 2.5,
     TRUE, 3)</f>
        <v>1.5</v>
      </c>
      <c r="M127" cm="1">
        <f t="array" ref="M127">_xlfn.IFS(E127&lt;50, 1,
     E127&lt;70, 1.5,
     E127&lt;100, 2,
     E127&lt;120, 2.5,
     TRUE, 3)</f>
        <v>1.5</v>
      </c>
      <c r="N127" cm="1">
        <f t="array" ref="N127">_xlfn.IFS(F127&lt;50, 1,
     F127&lt;70, 1.5,
     F127&lt;100, 2,
     F127&lt;120, 2.5,
     TRUE, 3)</f>
        <v>2.5</v>
      </c>
      <c r="O127" cm="1">
        <f t="array" ref="O127">_xlfn.IFS(G127&lt;50, 10,
     G127&lt;70, 15,
     G127&lt;100, 20,
     G127&lt;120, 25,
     TRUE, 30)</f>
        <v>15</v>
      </c>
      <c r="P127" cm="1">
        <f t="array" ref="P127">_xlfn.IFS(H127&lt;50, 1,
     H127&lt;70, 1.5,
     H127&lt;100, 2,
     H127&lt;120, 2.5,
     TRUE, 3)</f>
        <v>2.5</v>
      </c>
      <c r="Q127">
        <f t="shared" si="2"/>
        <v>2.5</v>
      </c>
      <c r="R127">
        <f t="shared" si="3"/>
        <v>2.5</v>
      </c>
      <c r="S127">
        <v>15</v>
      </c>
    </row>
    <row r="128" spans="1:19" x14ac:dyDescent="0.3">
      <c r="A128" s="25">
        <v>115</v>
      </c>
      <c r="B128" s="9"/>
      <c r="C128" s="10" t="s">
        <v>123</v>
      </c>
      <c r="D128" s="11">
        <v>105</v>
      </c>
      <c r="E128" s="12">
        <v>95</v>
      </c>
      <c r="F128" s="13">
        <v>80</v>
      </c>
      <c r="G128" s="14">
        <v>90</v>
      </c>
      <c r="H128" s="15">
        <v>40</v>
      </c>
      <c r="I128" s="8">
        <v>410</v>
      </c>
      <c r="J128" s="26">
        <v>82</v>
      </c>
      <c r="L128" cm="1">
        <f t="array" ref="L128">_xlfn.IFS(D128&lt;50, 1,
     D128&lt;70, 1.5,
     D128&lt;100, 2,
     D128&lt;120, 2.5,
     TRUE, 3)</f>
        <v>2.5</v>
      </c>
      <c r="M128" cm="1">
        <f t="array" ref="M128">_xlfn.IFS(E128&lt;50, 1,
     E128&lt;70, 1.5,
     E128&lt;100, 2,
     E128&lt;120, 2.5,
     TRUE, 3)</f>
        <v>2</v>
      </c>
      <c r="N128" cm="1">
        <f t="array" ref="N128">_xlfn.IFS(F128&lt;50, 1,
     F128&lt;70, 1.5,
     F128&lt;100, 2,
     F128&lt;120, 2.5,
     TRUE, 3)</f>
        <v>2</v>
      </c>
      <c r="O128" cm="1">
        <f t="array" ref="O128">_xlfn.IFS(G128&lt;50, 10,
     G128&lt;70, 15,
     G128&lt;100, 20,
     G128&lt;120, 25,
     TRUE, 30)</f>
        <v>20</v>
      </c>
      <c r="P128" cm="1">
        <f t="array" ref="P128">_xlfn.IFS(H128&lt;50, 1,
     H128&lt;70, 1.5,
     H128&lt;100, 2,
     H128&lt;120, 2.5,
     TRUE, 3)</f>
        <v>1</v>
      </c>
      <c r="Q128">
        <f t="shared" si="2"/>
        <v>2</v>
      </c>
      <c r="R128">
        <f t="shared" si="3"/>
        <v>2</v>
      </c>
      <c r="S128">
        <v>20</v>
      </c>
    </row>
    <row r="129" spans="1:19" x14ac:dyDescent="0.3">
      <c r="A129" s="25">
        <v>116</v>
      </c>
      <c r="B129" s="9"/>
      <c r="C129" s="10" t="s">
        <v>124</v>
      </c>
      <c r="D129" s="11">
        <v>30</v>
      </c>
      <c r="E129" s="12">
        <v>40</v>
      </c>
      <c r="F129" s="13">
        <v>70</v>
      </c>
      <c r="G129" s="14">
        <v>60</v>
      </c>
      <c r="H129" s="15">
        <v>70</v>
      </c>
      <c r="I129" s="8">
        <v>270</v>
      </c>
      <c r="J129" s="26">
        <v>54</v>
      </c>
      <c r="L129" cm="1">
        <f t="array" ref="L129">_xlfn.IFS(D129&lt;50, 1,
     D129&lt;70, 1.5,
     D129&lt;100, 2,
     D129&lt;120, 2.5,
     TRUE, 3)</f>
        <v>1</v>
      </c>
      <c r="M129" cm="1">
        <f t="array" ref="M129">_xlfn.IFS(E129&lt;50, 1,
     E129&lt;70, 1.5,
     E129&lt;100, 2,
     E129&lt;120, 2.5,
     TRUE, 3)</f>
        <v>1</v>
      </c>
      <c r="N129" cm="1">
        <f t="array" ref="N129">_xlfn.IFS(F129&lt;50, 1,
     F129&lt;70, 1.5,
     F129&lt;100, 2,
     F129&lt;120, 2.5,
     TRUE, 3)</f>
        <v>2</v>
      </c>
      <c r="O129" cm="1">
        <f t="array" ref="O129">_xlfn.IFS(G129&lt;50, 10,
     G129&lt;70, 15,
     G129&lt;100, 20,
     G129&lt;120, 25,
     TRUE, 30)</f>
        <v>15</v>
      </c>
      <c r="P129" cm="1">
        <f t="array" ref="P129">_xlfn.IFS(H129&lt;50, 1,
     H129&lt;70, 1.5,
     H129&lt;100, 2,
     H129&lt;120, 2.5,
     TRUE, 3)</f>
        <v>2</v>
      </c>
      <c r="Q129">
        <f t="shared" si="2"/>
        <v>2</v>
      </c>
      <c r="R129">
        <f t="shared" si="3"/>
        <v>2</v>
      </c>
      <c r="S129">
        <v>15</v>
      </c>
    </row>
    <row r="130" spans="1:19" x14ac:dyDescent="0.3">
      <c r="A130" s="25">
        <v>117</v>
      </c>
      <c r="B130" s="9"/>
      <c r="C130" s="10" t="s">
        <v>125</v>
      </c>
      <c r="D130" s="11">
        <v>55</v>
      </c>
      <c r="E130" s="12">
        <v>65</v>
      </c>
      <c r="F130" s="13">
        <v>95</v>
      </c>
      <c r="G130" s="14">
        <v>85</v>
      </c>
      <c r="H130" s="15">
        <v>95</v>
      </c>
      <c r="I130" s="8">
        <v>395</v>
      </c>
      <c r="J130" s="26">
        <v>79</v>
      </c>
      <c r="L130" cm="1">
        <f t="array" ref="L130">_xlfn.IFS(D130&lt;50, 1,
     D130&lt;70, 1.5,
     D130&lt;100, 2,
     D130&lt;120, 2.5,
     TRUE, 3)</f>
        <v>1.5</v>
      </c>
      <c r="M130" cm="1">
        <f t="array" ref="M130">_xlfn.IFS(E130&lt;50, 1,
     E130&lt;70, 1.5,
     E130&lt;100, 2,
     E130&lt;120, 2.5,
     TRUE, 3)</f>
        <v>1.5</v>
      </c>
      <c r="N130" cm="1">
        <f t="array" ref="N130">_xlfn.IFS(F130&lt;50, 1,
     F130&lt;70, 1.5,
     F130&lt;100, 2,
     F130&lt;120, 2.5,
     TRUE, 3)</f>
        <v>2</v>
      </c>
      <c r="O130" cm="1">
        <f t="array" ref="O130">_xlfn.IFS(G130&lt;50, 10,
     G130&lt;70, 15,
     G130&lt;100, 20,
     G130&lt;120, 25,
     TRUE, 30)</f>
        <v>20</v>
      </c>
      <c r="P130" cm="1">
        <f t="array" ref="P130">_xlfn.IFS(H130&lt;50, 1,
     H130&lt;70, 1.5,
     H130&lt;100, 2,
     H130&lt;120, 2.5,
     TRUE, 3)</f>
        <v>2</v>
      </c>
      <c r="Q130">
        <f t="shared" si="2"/>
        <v>2</v>
      </c>
      <c r="R130">
        <f t="shared" si="3"/>
        <v>2</v>
      </c>
      <c r="S130">
        <v>20</v>
      </c>
    </row>
    <row r="131" spans="1:19" x14ac:dyDescent="0.3">
      <c r="A131" s="25">
        <v>118</v>
      </c>
      <c r="B131" s="9"/>
      <c r="C131" s="10" t="s">
        <v>126</v>
      </c>
      <c r="D131" s="11">
        <v>45</v>
      </c>
      <c r="E131" s="12">
        <v>67</v>
      </c>
      <c r="F131" s="13">
        <v>60</v>
      </c>
      <c r="G131" s="14">
        <v>63</v>
      </c>
      <c r="H131" s="15">
        <v>50</v>
      </c>
      <c r="I131" s="8">
        <v>285</v>
      </c>
      <c r="J131" s="26">
        <v>57</v>
      </c>
      <c r="L131" cm="1">
        <f t="array" ref="L131">_xlfn.IFS(D131&lt;50, 1,
     D131&lt;70, 1.5,
     D131&lt;100, 2,
     D131&lt;120, 2.5,
     TRUE, 3)</f>
        <v>1</v>
      </c>
      <c r="M131" cm="1">
        <f t="array" ref="M131">_xlfn.IFS(E131&lt;50, 1,
     E131&lt;70, 1.5,
     E131&lt;100, 2,
     E131&lt;120, 2.5,
     TRUE, 3)</f>
        <v>1.5</v>
      </c>
      <c r="N131" cm="1">
        <f t="array" ref="N131">_xlfn.IFS(F131&lt;50, 1,
     F131&lt;70, 1.5,
     F131&lt;100, 2,
     F131&lt;120, 2.5,
     TRUE, 3)</f>
        <v>1.5</v>
      </c>
      <c r="O131" cm="1">
        <f t="array" ref="O131">_xlfn.IFS(G131&lt;50, 10,
     G131&lt;70, 15,
     G131&lt;100, 20,
     G131&lt;120, 25,
     TRUE, 30)</f>
        <v>15</v>
      </c>
      <c r="P131" cm="1">
        <f t="array" ref="P131">_xlfn.IFS(H131&lt;50, 1,
     H131&lt;70, 1.5,
     H131&lt;100, 2,
     H131&lt;120, 2.5,
     TRUE, 3)</f>
        <v>1.5</v>
      </c>
      <c r="Q131">
        <f t="shared" si="2"/>
        <v>1.5</v>
      </c>
      <c r="R131">
        <f t="shared" si="3"/>
        <v>1.5</v>
      </c>
      <c r="S131">
        <v>15</v>
      </c>
    </row>
    <row r="132" spans="1:19" x14ac:dyDescent="0.3">
      <c r="A132" s="25">
        <v>119</v>
      </c>
      <c r="B132" s="9"/>
      <c r="C132" s="10" t="s">
        <v>127</v>
      </c>
      <c r="D132" s="11">
        <v>80</v>
      </c>
      <c r="E132" s="12">
        <v>92</v>
      </c>
      <c r="F132" s="13">
        <v>65</v>
      </c>
      <c r="G132" s="14">
        <v>68</v>
      </c>
      <c r="H132" s="15">
        <v>80</v>
      </c>
      <c r="I132" s="8">
        <v>385</v>
      </c>
      <c r="J132" s="26">
        <v>77</v>
      </c>
      <c r="L132" cm="1">
        <f t="array" ref="L132">_xlfn.IFS(D132&lt;50, 1,
     D132&lt;70, 1.5,
     D132&lt;100, 2,
     D132&lt;120, 2.5,
     TRUE, 3)</f>
        <v>2</v>
      </c>
      <c r="M132" cm="1">
        <f t="array" ref="M132">_xlfn.IFS(E132&lt;50, 1,
     E132&lt;70, 1.5,
     E132&lt;100, 2,
     E132&lt;120, 2.5,
     TRUE, 3)</f>
        <v>2</v>
      </c>
      <c r="N132" cm="1">
        <f t="array" ref="N132">_xlfn.IFS(F132&lt;50, 1,
     F132&lt;70, 1.5,
     F132&lt;100, 2,
     F132&lt;120, 2.5,
     TRUE, 3)</f>
        <v>1.5</v>
      </c>
      <c r="O132" cm="1">
        <f t="array" ref="O132">_xlfn.IFS(G132&lt;50, 10,
     G132&lt;70, 15,
     G132&lt;100, 20,
     G132&lt;120, 25,
     TRUE, 30)</f>
        <v>15</v>
      </c>
      <c r="P132" cm="1">
        <f t="array" ref="P132">_xlfn.IFS(H132&lt;50, 1,
     H132&lt;70, 1.5,
     H132&lt;100, 2,
     H132&lt;120, 2.5,
     TRUE, 3)</f>
        <v>2</v>
      </c>
      <c r="Q132">
        <f t="shared" si="2"/>
        <v>2</v>
      </c>
      <c r="R132">
        <f t="shared" si="3"/>
        <v>2</v>
      </c>
      <c r="S132">
        <v>15</v>
      </c>
    </row>
    <row r="133" spans="1:19" x14ac:dyDescent="0.3">
      <c r="A133" s="25">
        <v>120</v>
      </c>
      <c r="B133" s="9"/>
      <c r="C133" s="10" t="s">
        <v>128</v>
      </c>
      <c r="D133" s="11">
        <v>30</v>
      </c>
      <c r="E133" s="12">
        <v>45</v>
      </c>
      <c r="F133" s="13">
        <v>55</v>
      </c>
      <c r="G133" s="14">
        <v>85</v>
      </c>
      <c r="H133" s="15">
        <v>70</v>
      </c>
      <c r="I133" s="8">
        <v>285</v>
      </c>
      <c r="J133" s="26">
        <v>57</v>
      </c>
      <c r="L133" cm="1">
        <f t="array" ref="L133">_xlfn.IFS(D133&lt;50, 1,
     D133&lt;70, 1.5,
     D133&lt;100, 2,
     D133&lt;120, 2.5,
     TRUE, 3)</f>
        <v>1</v>
      </c>
      <c r="M133" cm="1">
        <f t="array" ref="M133">_xlfn.IFS(E133&lt;50, 1,
     E133&lt;70, 1.5,
     E133&lt;100, 2,
     E133&lt;120, 2.5,
     TRUE, 3)</f>
        <v>1</v>
      </c>
      <c r="N133" cm="1">
        <f t="array" ref="N133">_xlfn.IFS(F133&lt;50, 1,
     F133&lt;70, 1.5,
     F133&lt;100, 2,
     F133&lt;120, 2.5,
     TRUE, 3)</f>
        <v>1.5</v>
      </c>
      <c r="O133" cm="1">
        <f t="array" ref="O133">_xlfn.IFS(G133&lt;50, 10,
     G133&lt;70, 15,
     G133&lt;100, 20,
     G133&lt;120, 25,
     TRUE, 30)</f>
        <v>20</v>
      </c>
      <c r="P133" cm="1">
        <f t="array" ref="P133">_xlfn.IFS(H133&lt;50, 1,
     H133&lt;70, 1.5,
     H133&lt;100, 2,
     H133&lt;120, 2.5,
     TRUE, 3)</f>
        <v>2</v>
      </c>
      <c r="Q133">
        <f t="shared" si="2"/>
        <v>2</v>
      </c>
      <c r="R133">
        <f t="shared" si="3"/>
        <v>2</v>
      </c>
      <c r="S133">
        <v>20</v>
      </c>
    </row>
    <row r="134" spans="1:19" x14ac:dyDescent="0.3">
      <c r="A134" s="25">
        <v>121</v>
      </c>
      <c r="B134" s="9"/>
      <c r="C134" s="10" t="s">
        <v>129</v>
      </c>
      <c r="D134" s="11">
        <v>60</v>
      </c>
      <c r="E134" s="12">
        <v>75</v>
      </c>
      <c r="F134" s="13">
        <v>85</v>
      </c>
      <c r="G134" s="14">
        <v>115</v>
      </c>
      <c r="H134" s="15">
        <v>100</v>
      </c>
      <c r="I134" s="8">
        <v>435</v>
      </c>
      <c r="J134" s="26">
        <v>87</v>
      </c>
      <c r="L134" cm="1">
        <f t="array" ref="L134">_xlfn.IFS(D134&lt;50, 1,
     D134&lt;70, 1.5,
     D134&lt;100, 2,
     D134&lt;120, 2.5,
     TRUE, 3)</f>
        <v>1.5</v>
      </c>
      <c r="M134" cm="1">
        <f t="array" ref="M134">_xlfn.IFS(E134&lt;50, 1,
     E134&lt;70, 1.5,
     E134&lt;100, 2,
     E134&lt;120, 2.5,
     TRUE, 3)</f>
        <v>2</v>
      </c>
      <c r="N134" cm="1">
        <f t="array" ref="N134">_xlfn.IFS(F134&lt;50, 1,
     F134&lt;70, 1.5,
     F134&lt;100, 2,
     F134&lt;120, 2.5,
     TRUE, 3)</f>
        <v>2</v>
      </c>
      <c r="O134" cm="1">
        <f t="array" ref="O134">_xlfn.IFS(G134&lt;50, 10,
     G134&lt;70, 15,
     G134&lt;100, 20,
     G134&lt;120, 25,
     TRUE, 30)</f>
        <v>25</v>
      </c>
      <c r="P134" cm="1">
        <f t="array" ref="P134">_xlfn.IFS(H134&lt;50, 1,
     H134&lt;70, 1.5,
     H134&lt;100, 2,
     H134&lt;120, 2.5,
     TRUE, 3)</f>
        <v>2.5</v>
      </c>
      <c r="Q134">
        <f t="shared" si="2"/>
        <v>2.5</v>
      </c>
      <c r="R134">
        <f t="shared" si="3"/>
        <v>2.5</v>
      </c>
      <c r="S134">
        <v>25</v>
      </c>
    </row>
    <row r="135" spans="1:19" x14ac:dyDescent="0.3">
      <c r="A135" s="25">
        <v>122</v>
      </c>
      <c r="B135" s="9"/>
      <c r="C135" s="10" t="s">
        <v>130</v>
      </c>
      <c r="D135" s="11">
        <v>40</v>
      </c>
      <c r="E135" s="12">
        <v>45</v>
      </c>
      <c r="F135" s="13">
        <v>65</v>
      </c>
      <c r="G135" s="14">
        <v>90</v>
      </c>
      <c r="H135" s="15">
        <v>100</v>
      </c>
      <c r="I135" s="8">
        <v>340</v>
      </c>
      <c r="J135" s="26">
        <v>68</v>
      </c>
      <c r="L135" cm="1">
        <f t="array" ref="L135">_xlfn.IFS(D135&lt;50, 1,
     D135&lt;70, 1.5,
     D135&lt;100, 2,
     D135&lt;120, 2.5,
     TRUE, 3)</f>
        <v>1</v>
      </c>
      <c r="M135" cm="1">
        <f t="array" ref="M135">_xlfn.IFS(E135&lt;50, 1,
     E135&lt;70, 1.5,
     E135&lt;100, 2,
     E135&lt;120, 2.5,
     TRUE, 3)</f>
        <v>1</v>
      </c>
      <c r="N135" cm="1">
        <f t="array" ref="N135">_xlfn.IFS(F135&lt;50, 1,
     F135&lt;70, 1.5,
     F135&lt;100, 2,
     F135&lt;120, 2.5,
     TRUE, 3)</f>
        <v>1.5</v>
      </c>
      <c r="O135" cm="1">
        <f t="array" ref="O135">_xlfn.IFS(G135&lt;50, 10,
     G135&lt;70, 15,
     G135&lt;100, 20,
     G135&lt;120, 25,
     TRUE, 30)</f>
        <v>20</v>
      </c>
      <c r="P135" cm="1">
        <f t="array" ref="P135">_xlfn.IFS(H135&lt;50, 1,
     H135&lt;70, 1.5,
     H135&lt;100, 2,
     H135&lt;120, 2.5,
     TRUE, 3)</f>
        <v>2.5</v>
      </c>
      <c r="Q135">
        <f t="shared" si="2"/>
        <v>2.5</v>
      </c>
      <c r="R135">
        <f t="shared" si="3"/>
        <v>2.5</v>
      </c>
      <c r="S135">
        <v>20</v>
      </c>
    </row>
    <row r="136" spans="1:19" x14ac:dyDescent="0.3">
      <c r="A136" s="25">
        <v>123</v>
      </c>
      <c r="B136" s="9"/>
      <c r="C136" s="10" t="s">
        <v>131</v>
      </c>
      <c r="D136" s="11">
        <v>70</v>
      </c>
      <c r="E136" s="12">
        <v>110</v>
      </c>
      <c r="F136" s="13">
        <v>80</v>
      </c>
      <c r="G136" s="14">
        <v>105</v>
      </c>
      <c r="H136" s="15">
        <v>55</v>
      </c>
      <c r="I136" s="8">
        <v>420</v>
      </c>
      <c r="J136" s="26">
        <v>84</v>
      </c>
      <c r="L136" cm="1">
        <f t="array" ref="L136">_xlfn.IFS(D136&lt;50, 1,
     D136&lt;70, 1.5,
     D136&lt;100, 2,
     D136&lt;120, 2.5,
     TRUE, 3)</f>
        <v>2</v>
      </c>
      <c r="M136" cm="1">
        <f t="array" ref="M136">_xlfn.IFS(E136&lt;50, 1,
     E136&lt;70, 1.5,
     E136&lt;100, 2,
     E136&lt;120, 2.5,
     TRUE, 3)</f>
        <v>2.5</v>
      </c>
      <c r="N136" cm="1">
        <f t="array" ref="N136">_xlfn.IFS(F136&lt;50, 1,
     F136&lt;70, 1.5,
     F136&lt;100, 2,
     F136&lt;120, 2.5,
     TRUE, 3)</f>
        <v>2</v>
      </c>
      <c r="O136" cm="1">
        <f t="array" ref="O136">_xlfn.IFS(G136&lt;50, 10,
     G136&lt;70, 15,
     G136&lt;100, 20,
     G136&lt;120, 25,
     TRUE, 30)</f>
        <v>25</v>
      </c>
      <c r="P136" cm="1">
        <f t="array" ref="P136">_xlfn.IFS(H136&lt;50, 1,
     H136&lt;70, 1.5,
     H136&lt;100, 2,
     H136&lt;120, 2.5,
     TRUE, 3)</f>
        <v>1.5</v>
      </c>
      <c r="Q136">
        <f t="shared" si="2"/>
        <v>2.5</v>
      </c>
      <c r="R136">
        <f t="shared" si="3"/>
        <v>2</v>
      </c>
      <c r="S136">
        <v>25</v>
      </c>
    </row>
    <row r="137" spans="1:19" x14ac:dyDescent="0.3">
      <c r="A137" s="25">
        <v>124</v>
      </c>
      <c r="B137" s="9"/>
      <c r="C137" s="10" t="s">
        <v>132</v>
      </c>
      <c r="D137" s="11">
        <v>65</v>
      </c>
      <c r="E137" s="12">
        <v>50</v>
      </c>
      <c r="F137" s="13">
        <v>35</v>
      </c>
      <c r="G137" s="14">
        <v>95</v>
      </c>
      <c r="H137" s="15">
        <v>95</v>
      </c>
      <c r="I137" s="8">
        <v>340</v>
      </c>
      <c r="J137" s="26">
        <v>68</v>
      </c>
      <c r="L137" cm="1">
        <f t="array" ref="L137">_xlfn.IFS(D137&lt;50, 1,
     D137&lt;70, 1.5,
     D137&lt;100, 2,
     D137&lt;120, 2.5,
     TRUE, 3)</f>
        <v>1.5</v>
      </c>
      <c r="M137" cm="1">
        <f t="array" ref="M137">_xlfn.IFS(E137&lt;50, 1,
     E137&lt;70, 1.5,
     E137&lt;100, 2,
     E137&lt;120, 2.5,
     TRUE, 3)</f>
        <v>1.5</v>
      </c>
      <c r="N137" cm="1">
        <f t="array" ref="N137">_xlfn.IFS(F137&lt;50, 1,
     F137&lt;70, 1.5,
     F137&lt;100, 2,
     F137&lt;120, 2.5,
     TRUE, 3)</f>
        <v>1</v>
      </c>
      <c r="O137" cm="1">
        <f t="array" ref="O137">_xlfn.IFS(G137&lt;50, 10,
     G137&lt;70, 15,
     G137&lt;100, 20,
     G137&lt;120, 25,
     TRUE, 30)</f>
        <v>20</v>
      </c>
      <c r="P137" cm="1">
        <f t="array" ref="P137">_xlfn.IFS(H137&lt;50, 1,
     H137&lt;70, 1.5,
     H137&lt;100, 2,
     H137&lt;120, 2.5,
     TRUE, 3)</f>
        <v>2</v>
      </c>
      <c r="Q137">
        <f t="shared" si="2"/>
        <v>2</v>
      </c>
      <c r="R137">
        <f t="shared" si="3"/>
        <v>2</v>
      </c>
      <c r="S137">
        <v>20</v>
      </c>
    </row>
    <row r="138" spans="1:19" x14ac:dyDescent="0.3">
      <c r="A138" s="25">
        <v>125</v>
      </c>
      <c r="B138" s="9"/>
      <c r="C138" s="10" t="s">
        <v>133</v>
      </c>
      <c r="D138" s="11">
        <v>65</v>
      </c>
      <c r="E138" s="12">
        <v>83</v>
      </c>
      <c r="F138" s="13">
        <v>57</v>
      </c>
      <c r="G138" s="14">
        <v>105</v>
      </c>
      <c r="H138" s="15">
        <v>85</v>
      </c>
      <c r="I138" s="8">
        <v>395</v>
      </c>
      <c r="J138" s="26">
        <v>79</v>
      </c>
      <c r="L138" cm="1">
        <f t="array" ref="L138">_xlfn.IFS(D138&lt;50, 1,
     D138&lt;70, 1.5,
     D138&lt;100, 2,
     D138&lt;120, 2.5,
     TRUE, 3)</f>
        <v>1.5</v>
      </c>
      <c r="M138" cm="1">
        <f t="array" ref="M138">_xlfn.IFS(E138&lt;50, 1,
     E138&lt;70, 1.5,
     E138&lt;100, 2,
     E138&lt;120, 2.5,
     TRUE, 3)</f>
        <v>2</v>
      </c>
      <c r="N138" cm="1">
        <f t="array" ref="N138">_xlfn.IFS(F138&lt;50, 1,
     F138&lt;70, 1.5,
     F138&lt;100, 2,
     F138&lt;120, 2.5,
     TRUE, 3)</f>
        <v>1.5</v>
      </c>
      <c r="O138" cm="1">
        <f t="array" ref="O138">_xlfn.IFS(G138&lt;50, 10,
     G138&lt;70, 15,
     G138&lt;100, 20,
     G138&lt;120, 25,
     TRUE, 30)</f>
        <v>25</v>
      </c>
      <c r="P138" cm="1">
        <f t="array" ref="P138">_xlfn.IFS(H138&lt;50, 1,
     H138&lt;70, 1.5,
     H138&lt;100, 2,
     H138&lt;120, 2.5,
     TRUE, 3)</f>
        <v>2</v>
      </c>
      <c r="Q138">
        <f t="shared" si="2"/>
        <v>2</v>
      </c>
      <c r="R138">
        <f t="shared" si="3"/>
        <v>2</v>
      </c>
      <c r="S138">
        <v>25</v>
      </c>
    </row>
    <row r="139" spans="1:19" x14ac:dyDescent="0.3">
      <c r="A139" s="25">
        <v>126</v>
      </c>
      <c r="B139" s="9"/>
      <c r="C139" s="10" t="s">
        <v>134</v>
      </c>
      <c r="D139" s="11">
        <v>65</v>
      </c>
      <c r="E139" s="12">
        <v>95</v>
      </c>
      <c r="F139" s="13">
        <v>57</v>
      </c>
      <c r="G139" s="14">
        <v>93</v>
      </c>
      <c r="H139" s="15">
        <v>85</v>
      </c>
      <c r="I139" s="8">
        <v>395</v>
      </c>
      <c r="J139" s="26">
        <v>79</v>
      </c>
      <c r="L139" cm="1">
        <f t="array" ref="L139">_xlfn.IFS(D139&lt;50, 1,
     D139&lt;70, 1.5,
     D139&lt;100, 2,
     D139&lt;120, 2.5,
     TRUE, 3)</f>
        <v>1.5</v>
      </c>
      <c r="M139" cm="1">
        <f t="array" ref="M139">_xlfn.IFS(E139&lt;50, 1,
     E139&lt;70, 1.5,
     E139&lt;100, 2,
     E139&lt;120, 2.5,
     TRUE, 3)</f>
        <v>2</v>
      </c>
      <c r="N139" cm="1">
        <f t="array" ref="N139">_xlfn.IFS(F139&lt;50, 1,
     F139&lt;70, 1.5,
     F139&lt;100, 2,
     F139&lt;120, 2.5,
     TRUE, 3)</f>
        <v>1.5</v>
      </c>
      <c r="O139" cm="1">
        <f t="array" ref="O139">_xlfn.IFS(G139&lt;50, 10,
     G139&lt;70, 15,
     G139&lt;100, 20,
     G139&lt;120, 25,
     TRUE, 30)</f>
        <v>20</v>
      </c>
      <c r="P139" cm="1">
        <f t="array" ref="P139">_xlfn.IFS(H139&lt;50, 1,
     H139&lt;70, 1.5,
     H139&lt;100, 2,
     H139&lt;120, 2.5,
     TRUE, 3)</f>
        <v>2</v>
      </c>
      <c r="Q139">
        <f t="shared" si="2"/>
        <v>2</v>
      </c>
      <c r="R139">
        <f t="shared" si="3"/>
        <v>2</v>
      </c>
      <c r="S139">
        <v>20</v>
      </c>
    </row>
    <row r="140" spans="1:19" x14ac:dyDescent="0.3">
      <c r="A140" s="25">
        <v>127</v>
      </c>
      <c r="B140" s="9"/>
      <c r="C140" s="10" t="s">
        <v>135</v>
      </c>
      <c r="D140" s="11">
        <v>65</v>
      </c>
      <c r="E140" s="12">
        <v>125</v>
      </c>
      <c r="F140" s="13">
        <v>100</v>
      </c>
      <c r="G140" s="14">
        <v>85</v>
      </c>
      <c r="H140" s="15">
        <v>55</v>
      </c>
      <c r="I140" s="8">
        <v>430</v>
      </c>
      <c r="J140" s="26">
        <v>86</v>
      </c>
      <c r="L140" cm="1">
        <f t="array" ref="L140">_xlfn.IFS(D140&lt;50, 1,
     D140&lt;70, 1.5,
     D140&lt;100, 2,
     D140&lt;120, 2.5,
     TRUE, 3)</f>
        <v>1.5</v>
      </c>
      <c r="M140" cm="1">
        <f t="array" ref="M140">_xlfn.IFS(E140&lt;50, 1,
     E140&lt;70, 1.5,
     E140&lt;100, 2,
     E140&lt;120, 2.5,
     TRUE, 3)</f>
        <v>3</v>
      </c>
      <c r="N140" cm="1">
        <f t="array" ref="N140">_xlfn.IFS(F140&lt;50, 1,
     F140&lt;70, 1.5,
     F140&lt;100, 2,
     F140&lt;120, 2.5,
     TRUE, 3)</f>
        <v>2.5</v>
      </c>
      <c r="O140" cm="1">
        <f t="array" ref="O140">_xlfn.IFS(G140&lt;50, 10,
     G140&lt;70, 15,
     G140&lt;100, 20,
     G140&lt;120, 25,
     TRUE, 30)</f>
        <v>20</v>
      </c>
      <c r="P140" cm="1">
        <f t="array" ref="P140">_xlfn.IFS(H140&lt;50, 1,
     H140&lt;70, 1.5,
     H140&lt;100, 2,
     H140&lt;120, 2.5,
     TRUE, 3)</f>
        <v>1.5</v>
      </c>
      <c r="Q140">
        <f t="shared" si="2"/>
        <v>3</v>
      </c>
      <c r="R140">
        <f t="shared" si="3"/>
        <v>2.5</v>
      </c>
      <c r="S140">
        <v>20</v>
      </c>
    </row>
    <row r="141" spans="1:19" x14ac:dyDescent="0.3">
      <c r="A141" s="25">
        <v>128</v>
      </c>
      <c r="B141" s="9"/>
      <c r="C141" s="10" t="s">
        <v>136</v>
      </c>
      <c r="D141" s="11">
        <v>75</v>
      </c>
      <c r="E141" s="12">
        <v>100</v>
      </c>
      <c r="F141" s="13">
        <v>95</v>
      </c>
      <c r="G141" s="14">
        <v>110</v>
      </c>
      <c r="H141" s="15">
        <v>70</v>
      </c>
      <c r="I141" s="8">
        <v>450</v>
      </c>
      <c r="J141" s="26">
        <v>90</v>
      </c>
      <c r="L141" cm="1">
        <f t="array" ref="L141">_xlfn.IFS(D141&lt;50, 1,
     D141&lt;70, 1.5,
     D141&lt;100, 2,
     D141&lt;120, 2.5,
     TRUE, 3)</f>
        <v>2</v>
      </c>
      <c r="M141" cm="1">
        <f t="array" ref="M141">_xlfn.IFS(E141&lt;50, 1,
     E141&lt;70, 1.5,
     E141&lt;100, 2,
     E141&lt;120, 2.5,
     TRUE, 3)</f>
        <v>2.5</v>
      </c>
      <c r="N141" cm="1">
        <f t="array" ref="N141">_xlfn.IFS(F141&lt;50, 1,
     F141&lt;70, 1.5,
     F141&lt;100, 2,
     F141&lt;120, 2.5,
     TRUE, 3)</f>
        <v>2</v>
      </c>
      <c r="O141" cm="1">
        <f t="array" ref="O141">_xlfn.IFS(G141&lt;50, 10,
     G141&lt;70, 15,
     G141&lt;100, 20,
     G141&lt;120, 25,
     TRUE, 30)</f>
        <v>25</v>
      </c>
      <c r="P141" cm="1">
        <f t="array" ref="P141">_xlfn.IFS(H141&lt;50, 1,
     H141&lt;70, 1.5,
     H141&lt;100, 2,
     H141&lt;120, 2.5,
     TRUE, 3)</f>
        <v>2</v>
      </c>
      <c r="Q141">
        <f t="shared" si="2"/>
        <v>2.5</v>
      </c>
      <c r="R141">
        <f t="shared" si="3"/>
        <v>2</v>
      </c>
      <c r="S141">
        <v>25</v>
      </c>
    </row>
    <row r="142" spans="1:19" x14ac:dyDescent="0.3">
      <c r="A142" s="25">
        <v>129</v>
      </c>
      <c r="B142" s="9"/>
      <c r="C142" s="10" t="s">
        <v>137</v>
      </c>
      <c r="D142" s="11">
        <v>20</v>
      </c>
      <c r="E142" s="12">
        <v>10</v>
      </c>
      <c r="F142" s="13">
        <v>55</v>
      </c>
      <c r="G142" s="14">
        <v>80</v>
      </c>
      <c r="H142" s="15">
        <v>20</v>
      </c>
      <c r="I142" s="8">
        <v>185</v>
      </c>
      <c r="J142" s="26">
        <v>37</v>
      </c>
      <c r="L142" cm="1">
        <f t="array" ref="L142">_xlfn.IFS(D142&lt;50, 1,
     D142&lt;70, 1.5,
     D142&lt;100, 2,
     D142&lt;120, 2.5,
     TRUE, 3)</f>
        <v>1</v>
      </c>
      <c r="M142" cm="1">
        <f t="array" ref="M142">_xlfn.IFS(E142&lt;50, 1,
     E142&lt;70, 1.5,
     E142&lt;100, 2,
     E142&lt;120, 2.5,
     TRUE, 3)</f>
        <v>1</v>
      </c>
      <c r="N142" cm="1">
        <f t="array" ref="N142">_xlfn.IFS(F142&lt;50, 1,
     F142&lt;70, 1.5,
     F142&lt;100, 2,
     F142&lt;120, 2.5,
     TRUE, 3)</f>
        <v>1.5</v>
      </c>
      <c r="O142" cm="1">
        <f t="array" ref="O142">_xlfn.IFS(G142&lt;50, 10,
     G142&lt;70, 15,
     G142&lt;100, 20,
     G142&lt;120, 25,
     TRUE, 30)</f>
        <v>20</v>
      </c>
      <c r="P142" cm="1">
        <f t="array" ref="P142">_xlfn.IFS(H142&lt;50, 1,
     H142&lt;70, 1.5,
     H142&lt;100, 2,
     H142&lt;120, 2.5,
     TRUE, 3)</f>
        <v>1</v>
      </c>
      <c r="Q142">
        <f t="shared" si="2"/>
        <v>1</v>
      </c>
      <c r="R142">
        <f t="shared" si="3"/>
        <v>1.5</v>
      </c>
      <c r="S142">
        <v>20</v>
      </c>
    </row>
    <row r="143" spans="1:19" x14ac:dyDescent="0.3">
      <c r="A143" s="25">
        <v>130</v>
      </c>
      <c r="B143" s="9"/>
      <c r="C143" s="10" t="s">
        <v>138</v>
      </c>
      <c r="D143" s="11">
        <v>95</v>
      </c>
      <c r="E143" s="12">
        <v>125</v>
      </c>
      <c r="F143" s="13">
        <v>79</v>
      </c>
      <c r="G143" s="14">
        <v>81</v>
      </c>
      <c r="H143" s="15">
        <v>100</v>
      </c>
      <c r="I143" s="8">
        <v>480</v>
      </c>
      <c r="J143" s="26">
        <v>96</v>
      </c>
      <c r="L143" cm="1">
        <f t="array" ref="L143">_xlfn.IFS(D143&lt;50, 1,
     D143&lt;70, 1.5,
     D143&lt;100, 2,
     D143&lt;120, 2.5,
     TRUE, 3)</f>
        <v>2</v>
      </c>
      <c r="M143" cm="1">
        <f t="array" ref="M143">_xlfn.IFS(E143&lt;50, 1,
     E143&lt;70, 1.5,
     E143&lt;100, 2,
     E143&lt;120, 2.5,
     TRUE, 3)</f>
        <v>3</v>
      </c>
      <c r="N143" cm="1">
        <f t="array" ref="N143">_xlfn.IFS(F143&lt;50, 1,
     F143&lt;70, 1.5,
     F143&lt;100, 2,
     F143&lt;120, 2.5,
     TRUE, 3)</f>
        <v>2</v>
      </c>
      <c r="O143" cm="1">
        <f t="array" ref="O143">_xlfn.IFS(G143&lt;50, 10,
     G143&lt;70, 15,
     G143&lt;100, 20,
     G143&lt;120, 25,
     TRUE, 30)</f>
        <v>20</v>
      </c>
      <c r="P143" cm="1">
        <f t="array" ref="P143">_xlfn.IFS(H143&lt;50, 1,
     H143&lt;70, 1.5,
     H143&lt;100, 2,
     H143&lt;120, 2.5,
     TRUE, 3)</f>
        <v>2.5</v>
      </c>
      <c r="Q143">
        <f t="shared" ref="Q143:Q164" si="4">MAX(M143,P143)</f>
        <v>3</v>
      </c>
      <c r="R143">
        <f t="shared" ref="R143:R164" si="5">MAX(N143,P143)</f>
        <v>2.5</v>
      </c>
      <c r="S143">
        <v>20</v>
      </c>
    </row>
    <row r="144" spans="1:19" x14ac:dyDescent="0.3">
      <c r="A144" s="25">
        <v>131</v>
      </c>
      <c r="B144" s="9"/>
      <c r="C144" s="10" t="s">
        <v>139</v>
      </c>
      <c r="D144" s="11">
        <v>130</v>
      </c>
      <c r="E144" s="12">
        <v>85</v>
      </c>
      <c r="F144" s="13">
        <v>80</v>
      </c>
      <c r="G144" s="14">
        <v>60</v>
      </c>
      <c r="H144" s="15">
        <v>95</v>
      </c>
      <c r="I144" s="8">
        <v>450</v>
      </c>
      <c r="J144" s="26">
        <v>90</v>
      </c>
      <c r="L144" cm="1">
        <f t="array" ref="L144">_xlfn.IFS(D144&lt;50, 1,
     D144&lt;70, 1.5,
     D144&lt;100, 2,
     D144&lt;120, 2.5,
     TRUE, 3)</f>
        <v>3</v>
      </c>
      <c r="M144" cm="1">
        <f t="array" ref="M144">_xlfn.IFS(E144&lt;50, 1,
     E144&lt;70, 1.5,
     E144&lt;100, 2,
     E144&lt;120, 2.5,
     TRUE, 3)</f>
        <v>2</v>
      </c>
      <c r="N144" cm="1">
        <f t="array" ref="N144">_xlfn.IFS(F144&lt;50, 1,
     F144&lt;70, 1.5,
     F144&lt;100, 2,
     F144&lt;120, 2.5,
     TRUE, 3)</f>
        <v>2</v>
      </c>
      <c r="O144" cm="1">
        <f t="array" ref="O144">_xlfn.IFS(G144&lt;50, 10,
     G144&lt;70, 15,
     G144&lt;100, 20,
     G144&lt;120, 25,
     TRUE, 30)</f>
        <v>15</v>
      </c>
      <c r="P144" cm="1">
        <f t="array" ref="P144">_xlfn.IFS(H144&lt;50, 1,
     H144&lt;70, 1.5,
     H144&lt;100, 2,
     H144&lt;120, 2.5,
     TRUE, 3)</f>
        <v>2</v>
      </c>
      <c r="Q144">
        <f t="shared" si="4"/>
        <v>2</v>
      </c>
      <c r="R144">
        <f t="shared" si="5"/>
        <v>2</v>
      </c>
      <c r="S144">
        <v>15</v>
      </c>
    </row>
    <row r="145" spans="1:19" x14ac:dyDescent="0.3">
      <c r="A145" s="25">
        <v>132</v>
      </c>
      <c r="B145" s="9"/>
      <c r="C145" s="10" t="s">
        <v>140</v>
      </c>
      <c r="D145" s="11">
        <v>48</v>
      </c>
      <c r="E145" s="12">
        <v>48</v>
      </c>
      <c r="F145" s="13">
        <v>48</v>
      </c>
      <c r="G145" s="14">
        <v>48</v>
      </c>
      <c r="H145" s="15">
        <v>48</v>
      </c>
      <c r="I145" s="8">
        <v>240</v>
      </c>
      <c r="J145" s="26">
        <v>48</v>
      </c>
      <c r="L145" cm="1">
        <f t="array" ref="L145">_xlfn.IFS(D145&lt;50, 1,
     D145&lt;70, 1.5,
     D145&lt;100, 2,
     D145&lt;120, 2.5,
     TRUE, 3)</f>
        <v>1</v>
      </c>
      <c r="M145" cm="1">
        <f t="array" ref="M145">_xlfn.IFS(E145&lt;50, 1,
     E145&lt;70, 1.5,
     E145&lt;100, 2,
     E145&lt;120, 2.5,
     TRUE, 3)</f>
        <v>1</v>
      </c>
      <c r="N145" cm="1">
        <f t="array" ref="N145">_xlfn.IFS(F145&lt;50, 1,
     F145&lt;70, 1.5,
     F145&lt;100, 2,
     F145&lt;120, 2.5,
     TRUE, 3)</f>
        <v>1</v>
      </c>
      <c r="O145" cm="1">
        <f t="array" ref="O145">_xlfn.IFS(G145&lt;50, 10,
     G145&lt;70, 15,
     G145&lt;100, 20,
     G145&lt;120, 25,
     TRUE, 30)</f>
        <v>10</v>
      </c>
      <c r="P145" cm="1">
        <f t="array" ref="P145">_xlfn.IFS(H145&lt;50, 1,
     H145&lt;70, 1.5,
     H145&lt;100, 2,
     H145&lt;120, 2.5,
     TRUE, 3)</f>
        <v>1</v>
      </c>
      <c r="Q145">
        <f t="shared" si="4"/>
        <v>1</v>
      </c>
      <c r="R145">
        <f t="shared" si="5"/>
        <v>1</v>
      </c>
      <c r="S145">
        <v>10</v>
      </c>
    </row>
    <row r="146" spans="1:19" x14ac:dyDescent="0.3">
      <c r="A146" s="25">
        <v>133</v>
      </c>
      <c r="B146" s="9"/>
      <c r="C146" s="10" t="s">
        <v>141</v>
      </c>
      <c r="D146" s="11">
        <v>55</v>
      </c>
      <c r="E146" s="12">
        <v>55</v>
      </c>
      <c r="F146" s="13">
        <v>50</v>
      </c>
      <c r="G146" s="14">
        <v>55</v>
      </c>
      <c r="H146" s="15">
        <v>65</v>
      </c>
      <c r="I146" s="8">
        <v>280</v>
      </c>
      <c r="J146" s="26">
        <v>56</v>
      </c>
      <c r="L146" cm="1">
        <f t="array" ref="L146">_xlfn.IFS(D146&lt;50, 1,
     D146&lt;70, 1.5,
     D146&lt;100, 2,
     D146&lt;120, 2.5,
     TRUE, 3)</f>
        <v>1.5</v>
      </c>
      <c r="M146" cm="1">
        <f t="array" ref="M146">_xlfn.IFS(E146&lt;50, 1,
     E146&lt;70, 1.5,
     E146&lt;100, 2,
     E146&lt;120, 2.5,
     TRUE, 3)</f>
        <v>1.5</v>
      </c>
      <c r="N146" cm="1">
        <f t="array" ref="N146">_xlfn.IFS(F146&lt;50, 1,
     F146&lt;70, 1.5,
     F146&lt;100, 2,
     F146&lt;120, 2.5,
     TRUE, 3)</f>
        <v>1.5</v>
      </c>
      <c r="O146" cm="1">
        <f t="array" ref="O146">_xlfn.IFS(G146&lt;50, 10,
     G146&lt;70, 15,
     G146&lt;100, 20,
     G146&lt;120, 25,
     TRUE, 30)</f>
        <v>15</v>
      </c>
      <c r="P146" cm="1">
        <f t="array" ref="P146">_xlfn.IFS(H146&lt;50, 1,
     H146&lt;70, 1.5,
     H146&lt;100, 2,
     H146&lt;120, 2.5,
     TRUE, 3)</f>
        <v>1.5</v>
      </c>
      <c r="Q146">
        <f t="shared" si="4"/>
        <v>1.5</v>
      </c>
      <c r="R146">
        <f t="shared" si="5"/>
        <v>1.5</v>
      </c>
      <c r="S146">
        <v>15</v>
      </c>
    </row>
    <row r="147" spans="1:19" x14ac:dyDescent="0.3">
      <c r="A147" s="25">
        <v>134</v>
      </c>
      <c r="B147" s="9"/>
      <c r="C147" s="10" t="s">
        <v>142</v>
      </c>
      <c r="D147" s="11">
        <v>130</v>
      </c>
      <c r="E147" s="12">
        <v>65</v>
      </c>
      <c r="F147" s="13">
        <v>60</v>
      </c>
      <c r="G147" s="14">
        <v>65</v>
      </c>
      <c r="H147" s="15">
        <v>110</v>
      </c>
      <c r="I147" s="8">
        <v>430</v>
      </c>
      <c r="J147" s="26">
        <v>86</v>
      </c>
      <c r="L147" cm="1">
        <f t="array" ref="L147">_xlfn.IFS(D147&lt;50, 1,
     D147&lt;70, 1.5,
     D147&lt;100, 2,
     D147&lt;120, 2.5,
     TRUE, 3)</f>
        <v>3</v>
      </c>
      <c r="M147" cm="1">
        <f t="array" ref="M147">_xlfn.IFS(E147&lt;50, 1,
     E147&lt;70, 1.5,
     E147&lt;100, 2,
     E147&lt;120, 2.5,
     TRUE, 3)</f>
        <v>1.5</v>
      </c>
      <c r="N147" cm="1">
        <f t="array" ref="N147">_xlfn.IFS(F147&lt;50, 1,
     F147&lt;70, 1.5,
     F147&lt;100, 2,
     F147&lt;120, 2.5,
     TRUE, 3)</f>
        <v>1.5</v>
      </c>
      <c r="O147" cm="1">
        <f t="array" ref="O147">_xlfn.IFS(G147&lt;50, 10,
     G147&lt;70, 15,
     G147&lt;100, 20,
     G147&lt;120, 25,
     TRUE, 30)</f>
        <v>15</v>
      </c>
      <c r="P147" cm="1">
        <f t="array" ref="P147">_xlfn.IFS(H147&lt;50, 1,
     H147&lt;70, 1.5,
     H147&lt;100, 2,
     H147&lt;120, 2.5,
     TRUE, 3)</f>
        <v>2.5</v>
      </c>
      <c r="Q147">
        <f t="shared" si="4"/>
        <v>2.5</v>
      </c>
      <c r="R147">
        <f t="shared" si="5"/>
        <v>2.5</v>
      </c>
      <c r="S147">
        <v>15</v>
      </c>
    </row>
    <row r="148" spans="1:19" x14ac:dyDescent="0.3">
      <c r="A148" s="25">
        <v>135</v>
      </c>
      <c r="B148" s="9"/>
      <c r="C148" s="10" t="s">
        <v>143</v>
      </c>
      <c r="D148" s="11">
        <v>65</v>
      </c>
      <c r="E148" s="12">
        <v>65</v>
      </c>
      <c r="F148" s="13">
        <v>60</v>
      </c>
      <c r="G148" s="14">
        <v>130</v>
      </c>
      <c r="H148" s="15">
        <v>110</v>
      </c>
      <c r="I148" s="8">
        <v>430</v>
      </c>
      <c r="J148" s="26">
        <v>86</v>
      </c>
      <c r="L148" cm="1">
        <f t="array" ref="L148">_xlfn.IFS(D148&lt;50, 1,
     D148&lt;70, 1.5,
     D148&lt;100, 2,
     D148&lt;120, 2.5,
     TRUE, 3)</f>
        <v>1.5</v>
      </c>
      <c r="M148" cm="1">
        <f t="array" ref="M148">_xlfn.IFS(E148&lt;50, 1,
     E148&lt;70, 1.5,
     E148&lt;100, 2,
     E148&lt;120, 2.5,
     TRUE, 3)</f>
        <v>1.5</v>
      </c>
      <c r="N148" cm="1">
        <f t="array" ref="N148">_xlfn.IFS(F148&lt;50, 1,
     F148&lt;70, 1.5,
     F148&lt;100, 2,
     F148&lt;120, 2.5,
     TRUE, 3)</f>
        <v>1.5</v>
      </c>
      <c r="O148" cm="1">
        <f t="array" ref="O148">_xlfn.IFS(G148&lt;50, 10,
     G148&lt;70, 15,
     G148&lt;100, 20,
     G148&lt;120, 25,
     TRUE, 30)</f>
        <v>30</v>
      </c>
      <c r="P148" cm="1">
        <f t="array" ref="P148">_xlfn.IFS(H148&lt;50, 1,
     H148&lt;70, 1.5,
     H148&lt;100, 2,
     H148&lt;120, 2.5,
     TRUE, 3)</f>
        <v>2.5</v>
      </c>
      <c r="Q148">
        <f t="shared" si="4"/>
        <v>2.5</v>
      </c>
      <c r="R148">
        <f t="shared" si="5"/>
        <v>2.5</v>
      </c>
      <c r="S148">
        <v>30</v>
      </c>
    </row>
    <row r="149" spans="1:19" x14ac:dyDescent="0.3">
      <c r="A149" s="25">
        <v>136</v>
      </c>
      <c r="B149" s="9"/>
      <c r="C149" s="10" t="s">
        <v>144</v>
      </c>
      <c r="D149" s="11">
        <v>65</v>
      </c>
      <c r="E149" s="12">
        <v>130</v>
      </c>
      <c r="F149" s="13">
        <v>60</v>
      </c>
      <c r="G149" s="14">
        <v>65</v>
      </c>
      <c r="H149" s="15">
        <v>110</v>
      </c>
      <c r="I149" s="8">
        <v>430</v>
      </c>
      <c r="J149" s="26">
        <v>86</v>
      </c>
      <c r="L149" cm="1">
        <f t="array" ref="L149">_xlfn.IFS(D149&lt;50, 1,
     D149&lt;70, 1.5,
     D149&lt;100, 2,
     D149&lt;120, 2.5,
     TRUE, 3)</f>
        <v>1.5</v>
      </c>
      <c r="M149" cm="1">
        <f t="array" ref="M149">_xlfn.IFS(E149&lt;50, 1,
     E149&lt;70, 1.5,
     E149&lt;100, 2,
     E149&lt;120, 2.5,
     TRUE, 3)</f>
        <v>3</v>
      </c>
      <c r="N149" cm="1">
        <f t="array" ref="N149">_xlfn.IFS(F149&lt;50, 1,
     F149&lt;70, 1.5,
     F149&lt;100, 2,
     F149&lt;120, 2.5,
     TRUE, 3)</f>
        <v>1.5</v>
      </c>
      <c r="O149" cm="1">
        <f t="array" ref="O149">_xlfn.IFS(G149&lt;50, 10,
     G149&lt;70, 15,
     G149&lt;100, 20,
     G149&lt;120, 25,
     TRUE, 30)</f>
        <v>15</v>
      </c>
      <c r="P149" cm="1">
        <f t="array" ref="P149">_xlfn.IFS(H149&lt;50, 1,
     H149&lt;70, 1.5,
     H149&lt;100, 2,
     H149&lt;120, 2.5,
     TRUE, 3)</f>
        <v>2.5</v>
      </c>
      <c r="Q149">
        <f t="shared" si="4"/>
        <v>3</v>
      </c>
      <c r="R149">
        <f t="shared" si="5"/>
        <v>2.5</v>
      </c>
      <c r="S149">
        <v>15</v>
      </c>
    </row>
    <row r="150" spans="1:19" x14ac:dyDescent="0.3">
      <c r="A150" s="25">
        <v>137</v>
      </c>
      <c r="B150" s="9"/>
      <c r="C150" s="10" t="s">
        <v>145</v>
      </c>
      <c r="D150" s="11">
        <v>65</v>
      </c>
      <c r="E150" s="12">
        <v>60</v>
      </c>
      <c r="F150" s="13">
        <v>70</v>
      </c>
      <c r="G150" s="14">
        <v>40</v>
      </c>
      <c r="H150" s="15">
        <v>75</v>
      </c>
      <c r="I150" s="8">
        <v>310</v>
      </c>
      <c r="J150" s="26">
        <v>62</v>
      </c>
      <c r="L150" cm="1">
        <f t="array" ref="L150">_xlfn.IFS(D150&lt;50, 1,
     D150&lt;70, 1.5,
     D150&lt;100, 2,
     D150&lt;120, 2.5,
     TRUE, 3)</f>
        <v>1.5</v>
      </c>
      <c r="M150" cm="1">
        <f t="array" ref="M150">_xlfn.IFS(E150&lt;50, 1,
     E150&lt;70, 1.5,
     E150&lt;100, 2,
     E150&lt;120, 2.5,
     TRUE, 3)</f>
        <v>1.5</v>
      </c>
      <c r="N150" cm="1">
        <f t="array" ref="N150">_xlfn.IFS(F150&lt;50, 1,
     F150&lt;70, 1.5,
     F150&lt;100, 2,
     F150&lt;120, 2.5,
     TRUE, 3)</f>
        <v>2</v>
      </c>
      <c r="O150" cm="1">
        <f t="array" ref="O150">_xlfn.IFS(G150&lt;50, 10,
     G150&lt;70, 15,
     G150&lt;100, 20,
     G150&lt;120, 25,
     TRUE, 30)</f>
        <v>10</v>
      </c>
      <c r="P150" cm="1">
        <f t="array" ref="P150">_xlfn.IFS(H150&lt;50, 1,
     H150&lt;70, 1.5,
     H150&lt;100, 2,
     H150&lt;120, 2.5,
     TRUE, 3)</f>
        <v>2</v>
      </c>
      <c r="Q150">
        <f t="shared" si="4"/>
        <v>2</v>
      </c>
      <c r="R150">
        <f t="shared" si="5"/>
        <v>2</v>
      </c>
      <c r="S150">
        <v>10</v>
      </c>
    </row>
    <row r="151" spans="1:19" x14ac:dyDescent="0.3">
      <c r="A151" s="25">
        <v>138</v>
      </c>
      <c r="B151" s="9"/>
      <c r="C151" s="10" t="s">
        <v>146</v>
      </c>
      <c r="D151" s="11">
        <v>35</v>
      </c>
      <c r="E151" s="12">
        <v>40</v>
      </c>
      <c r="F151" s="13">
        <v>100</v>
      </c>
      <c r="G151" s="14">
        <v>35</v>
      </c>
      <c r="H151" s="15">
        <v>90</v>
      </c>
      <c r="I151" s="8">
        <v>300</v>
      </c>
      <c r="J151" s="26">
        <v>60</v>
      </c>
      <c r="L151" cm="1">
        <f t="array" ref="L151">_xlfn.IFS(D151&lt;50, 1,
     D151&lt;70, 1.5,
     D151&lt;100, 2,
     D151&lt;120, 2.5,
     TRUE, 3)</f>
        <v>1</v>
      </c>
      <c r="M151" cm="1">
        <f t="array" ref="M151">_xlfn.IFS(E151&lt;50, 1,
     E151&lt;70, 1.5,
     E151&lt;100, 2,
     E151&lt;120, 2.5,
     TRUE, 3)</f>
        <v>1</v>
      </c>
      <c r="N151" cm="1">
        <f t="array" ref="N151">_xlfn.IFS(F151&lt;50, 1,
     F151&lt;70, 1.5,
     F151&lt;100, 2,
     F151&lt;120, 2.5,
     TRUE, 3)</f>
        <v>2.5</v>
      </c>
      <c r="O151" cm="1">
        <f t="array" ref="O151">_xlfn.IFS(G151&lt;50, 10,
     G151&lt;70, 15,
     G151&lt;100, 20,
     G151&lt;120, 25,
     TRUE, 30)</f>
        <v>10</v>
      </c>
      <c r="P151" cm="1">
        <f t="array" ref="P151">_xlfn.IFS(H151&lt;50, 1,
     H151&lt;70, 1.5,
     H151&lt;100, 2,
     H151&lt;120, 2.5,
     TRUE, 3)</f>
        <v>2</v>
      </c>
      <c r="Q151">
        <f t="shared" si="4"/>
        <v>2</v>
      </c>
      <c r="R151">
        <f t="shared" si="5"/>
        <v>2.5</v>
      </c>
      <c r="S151">
        <v>10</v>
      </c>
    </row>
    <row r="152" spans="1:19" x14ac:dyDescent="0.3">
      <c r="A152" s="25">
        <v>139</v>
      </c>
      <c r="B152" s="9"/>
      <c r="C152" s="10" t="s">
        <v>147</v>
      </c>
      <c r="D152" s="11">
        <v>70</v>
      </c>
      <c r="E152" s="12">
        <v>60</v>
      </c>
      <c r="F152" s="13">
        <v>125</v>
      </c>
      <c r="G152" s="14">
        <v>55</v>
      </c>
      <c r="H152" s="15">
        <v>115</v>
      </c>
      <c r="I152" s="8">
        <v>425</v>
      </c>
      <c r="J152" s="26">
        <v>85</v>
      </c>
      <c r="L152" cm="1">
        <f t="array" ref="L152">_xlfn.IFS(D152&lt;50, 1,
     D152&lt;70, 1.5,
     D152&lt;100, 2,
     D152&lt;120, 2.5,
     TRUE, 3)</f>
        <v>2</v>
      </c>
      <c r="M152" cm="1">
        <f t="array" ref="M152">_xlfn.IFS(E152&lt;50, 1,
     E152&lt;70, 1.5,
     E152&lt;100, 2,
     E152&lt;120, 2.5,
     TRUE, 3)</f>
        <v>1.5</v>
      </c>
      <c r="N152" cm="1">
        <f t="array" ref="N152">_xlfn.IFS(F152&lt;50, 1,
     F152&lt;70, 1.5,
     F152&lt;100, 2,
     F152&lt;120, 2.5,
     TRUE, 3)</f>
        <v>3</v>
      </c>
      <c r="O152" cm="1">
        <f t="array" ref="O152">_xlfn.IFS(G152&lt;50, 10,
     G152&lt;70, 15,
     G152&lt;100, 20,
     G152&lt;120, 25,
     TRUE, 30)</f>
        <v>15</v>
      </c>
      <c r="P152" cm="1">
        <f t="array" ref="P152">_xlfn.IFS(H152&lt;50, 1,
     H152&lt;70, 1.5,
     H152&lt;100, 2,
     H152&lt;120, 2.5,
     TRUE, 3)</f>
        <v>2.5</v>
      </c>
      <c r="Q152">
        <f t="shared" si="4"/>
        <v>2.5</v>
      </c>
      <c r="R152">
        <f t="shared" si="5"/>
        <v>3</v>
      </c>
      <c r="S152">
        <v>15</v>
      </c>
    </row>
    <row r="153" spans="1:19" x14ac:dyDescent="0.3">
      <c r="A153" s="25">
        <v>140</v>
      </c>
      <c r="B153" s="9"/>
      <c r="C153" s="10" t="s">
        <v>148</v>
      </c>
      <c r="D153" s="11">
        <v>30</v>
      </c>
      <c r="E153" s="12">
        <v>80</v>
      </c>
      <c r="F153" s="13">
        <v>90</v>
      </c>
      <c r="G153" s="14">
        <v>55</v>
      </c>
      <c r="H153" s="15">
        <v>45</v>
      </c>
      <c r="I153" s="8">
        <v>300</v>
      </c>
      <c r="J153" s="26">
        <v>60</v>
      </c>
      <c r="L153" cm="1">
        <f t="array" ref="L153">_xlfn.IFS(D153&lt;50, 1,
     D153&lt;70, 1.5,
     D153&lt;100, 2,
     D153&lt;120, 2.5,
     TRUE, 3)</f>
        <v>1</v>
      </c>
      <c r="M153" cm="1">
        <f t="array" ref="M153">_xlfn.IFS(E153&lt;50, 1,
     E153&lt;70, 1.5,
     E153&lt;100, 2,
     E153&lt;120, 2.5,
     TRUE, 3)</f>
        <v>2</v>
      </c>
      <c r="N153" cm="1">
        <f t="array" ref="N153">_xlfn.IFS(F153&lt;50, 1,
     F153&lt;70, 1.5,
     F153&lt;100, 2,
     F153&lt;120, 2.5,
     TRUE, 3)</f>
        <v>2</v>
      </c>
      <c r="O153" cm="1">
        <f t="array" ref="O153">_xlfn.IFS(G153&lt;50, 10,
     G153&lt;70, 15,
     G153&lt;100, 20,
     G153&lt;120, 25,
     TRUE, 30)</f>
        <v>15</v>
      </c>
      <c r="P153" cm="1">
        <f t="array" ref="P153">_xlfn.IFS(H153&lt;50, 1,
     H153&lt;70, 1.5,
     H153&lt;100, 2,
     H153&lt;120, 2.5,
     TRUE, 3)</f>
        <v>1</v>
      </c>
      <c r="Q153">
        <f t="shared" si="4"/>
        <v>2</v>
      </c>
      <c r="R153">
        <f t="shared" si="5"/>
        <v>2</v>
      </c>
      <c r="S153">
        <v>15</v>
      </c>
    </row>
    <row r="154" spans="1:19" x14ac:dyDescent="0.3">
      <c r="A154" s="25">
        <v>141</v>
      </c>
      <c r="B154" s="9"/>
      <c r="C154" s="10" t="s">
        <v>149</v>
      </c>
      <c r="D154" s="11">
        <v>60</v>
      </c>
      <c r="E154" s="12">
        <v>115</v>
      </c>
      <c r="F154" s="13">
        <v>105</v>
      </c>
      <c r="G154" s="14">
        <v>80</v>
      </c>
      <c r="H154" s="15">
        <v>70</v>
      </c>
      <c r="I154" s="8">
        <v>430</v>
      </c>
      <c r="J154" s="26">
        <v>86</v>
      </c>
      <c r="L154" cm="1">
        <f t="array" ref="L154">_xlfn.IFS(D154&lt;50, 1,
     D154&lt;70, 1.5,
     D154&lt;100, 2,
     D154&lt;120, 2.5,
     TRUE, 3)</f>
        <v>1.5</v>
      </c>
      <c r="M154" cm="1">
        <f t="array" ref="M154">_xlfn.IFS(E154&lt;50, 1,
     E154&lt;70, 1.5,
     E154&lt;100, 2,
     E154&lt;120, 2.5,
     TRUE, 3)</f>
        <v>2.5</v>
      </c>
      <c r="N154" cm="1">
        <f t="array" ref="N154">_xlfn.IFS(F154&lt;50, 1,
     F154&lt;70, 1.5,
     F154&lt;100, 2,
     F154&lt;120, 2.5,
     TRUE, 3)</f>
        <v>2.5</v>
      </c>
      <c r="O154" cm="1">
        <f t="array" ref="O154">_xlfn.IFS(G154&lt;50, 10,
     G154&lt;70, 15,
     G154&lt;100, 20,
     G154&lt;120, 25,
     TRUE, 30)</f>
        <v>20</v>
      </c>
      <c r="P154" cm="1">
        <f t="array" ref="P154">_xlfn.IFS(H154&lt;50, 1,
     H154&lt;70, 1.5,
     H154&lt;100, 2,
     H154&lt;120, 2.5,
     TRUE, 3)</f>
        <v>2</v>
      </c>
      <c r="Q154">
        <f t="shared" si="4"/>
        <v>2.5</v>
      </c>
      <c r="R154">
        <f t="shared" si="5"/>
        <v>2.5</v>
      </c>
      <c r="S154">
        <v>20</v>
      </c>
    </row>
    <row r="155" spans="1:19" x14ac:dyDescent="0.3">
      <c r="A155" s="25">
        <v>142</v>
      </c>
      <c r="B155" s="9"/>
      <c r="C155" s="10" t="s">
        <v>150</v>
      </c>
      <c r="D155" s="11">
        <v>80</v>
      </c>
      <c r="E155" s="12">
        <v>105</v>
      </c>
      <c r="F155" s="13">
        <v>65</v>
      </c>
      <c r="G155" s="14">
        <v>130</v>
      </c>
      <c r="H155" s="15">
        <v>60</v>
      </c>
      <c r="I155" s="8">
        <v>440</v>
      </c>
      <c r="J155" s="26">
        <v>88</v>
      </c>
      <c r="L155" cm="1">
        <f t="array" ref="L155">_xlfn.IFS(D155&lt;50, 1,
     D155&lt;70, 1.5,
     D155&lt;100, 2,
     D155&lt;120, 2.5,
     TRUE, 3)</f>
        <v>2</v>
      </c>
      <c r="M155" cm="1">
        <f t="array" ref="M155">_xlfn.IFS(E155&lt;50, 1,
     E155&lt;70, 1.5,
     E155&lt;100, 2,
     E155&lt;120, 2.5,
     TRUE, 3)</f>
        <v>2.5</v>
      </c>
      <c r="N155" cm="1">
        <f t="array" ref="N155">_xlfn.IFS(F155&lt;50, 1,
     F155&lt;70, 1.5,
     F155&lt;100, 2,
     F155&lt;120, 2.5,
     TRUE, 3)</f>
        <v>1.5</v>
      </c>
      <c r="O155" cm="1">
        <f t="array" ref="O155">_xlfn.IFS(G155&lt;50, 10,
     G155&lt;70, 15,
     G155&lt;100, 20,
     G155&lt;120, 25,
     TRUE, 30)</f>
        <v>30</v>
      </c>
      <c r="P155" cm="1">
        <f t="array" ref="P155">_xlfn.IFS(H155&lt;50, 1,
     H155&lt;70, 1.5,
     H155&lt;100, 2,
     H155&lt;120, 2.5,
     TRUE, 3)</f>
        <v>1.5</v>
      </c>
      <c r="Q155">
        <f t="shared" si="4"/>
        <v>2.5</v>
      </c>
      <c r="R155">
        <f t="shared" si="5"/>
        <v>1.5</v>
      </c>
      <c r="S155">
        <v>30</v>
      </c>
    </row>
    <row r="156" spans="1:19" x14ac:dyDescent="0.3">
      <c r="A156" s="25">
        <v>143</v>
      </c>
      <c r="B156" s="9"/>
      <c r="C156" s="10" t="s">
        <v>151</v>
      </c>
      <c r="D156" s="11">
        <v>160</v>
      </c>
      <c r="E156" s="12">
        <v>110</v>
      </c>
      <c r="F156" s="13">
        <v>65</v>
      </c>
      <c r="G156" s="14">
        <v>30</v>
      </c>
      <c r="H156" s="15">
        <v>65</v>
      </c>
      <c r="I156" s="8">
        <v>430</v>
      </c>
      <c r="J156" s="26">
        <v>86</v>
      </c>
      <c r="L156" cm="1">
        <f t="array" ref="L156">_xlfn.IFS(D156&lt;50, 1,
     D156&lt;70, 1.5,
     D156&lt;100, 2,
     D156&lt;120, 2.5,
     TRUE, 3)</f>
        <v>3</v>
      </c>
      <c r="M156" cm="1">
        <f t="array" ref="M156">_xlfn.IFS(E156&lt;50, 1,
     E156&lt;70, 1.5,
     E156&lt;100, 2,
     E156&lt;120, 2.5,
     TRUE, 3)</f>
        <v>2.5</v>
      </c>
      <c r="N156" cm="1">
        <f t="array" ref="N156">_xlfn.IFS(F156&lt;50, 1,
     F156&lt;70, 1.5,
     F156&lt;100, 2,
     F156&lt;120, 2.5,
     TRUE, 3)</f>
        <v>1.5</v>
      </c>
      <c r="O156" cm="1">
        <f t="array" ref="O156">_xlfn.IFS(G156&lt;50, 10,
     G156&lt;70, 15,
     G156&lt;100, 20,
     G156&lt;120, 25,
     TRUE, 30)</f>
        <v>10</v>
      </c>
      <c r="P156" cm="1">
        <f t="array" ref="P156">_xlfn.IFS(H156&lt;50, 1,
     H156&lt;70, 1.5,
     H156&lt;100, 2,
     H156&lt;120, 2.5,
     TRUE, 3)</f>
        <v>1.5</v>
      </c>
      <c r="Q156">
        <f t="shared" si="4"/>
        <v>2.5</v>
      </c>
      <c r="R156">
        <f t="shared" si="5"/>
        <v>1.5</v>
      </c>
      <c r="S156">
        <v>10</v>
      </c>
    </row>
    <row r="157" spans="1:19" x14ac:dyDescent="0.3">
      <c r="A157" s="25">
        <v>144</v>
      </c>
      <c r="B157" s="9"/>
      <c r="C157" s="10" t="s">
        <v>152</v>
      </c>
      <c r="D157" s="11">
        <v>90</v>
      </c>
      <c r="E157" s="12">
        <v>85</v>
      </c>
      <c r="F157" s="13">
        <v>100</v>
      </c>
      <c r="G157" s="14">
        <v>85</v>
      </c>
      <c r="H157" s="15">
        <v>125</v>
      </c>
      <c r="I157" s="8">
        <v>485</v>
      </c>
      <c r="J157" s="26">
        <v>97</v>
      </c>
      <c r="L157" cm="1">
        <f t="array" ref="L157">_xlfn.IFS(D157&lt;50, 1,
     D157&lt;70, 1.5,
     D157&lt;100, 2,
     D157&lt;120, 2.5,
     TRUE, 3)</f>
        <v>2</v>
      </c>
      <c r="M157" cm="1">
        <f t="array" ref="M157">_xlfn.IFS(E157&lt;50, 1,
     E157&lt;70, 1.5,
     E157&lt;100, 2,
     E157&lt;120, 2.5,
     TRUE, 3)</f>
        <v>2</v>
      </c>
      <c r="N157" cm="1">
        <f t="array" ref="N157">_xlfn.IFS(F157&lt;50, 1,
     F157&lt;70, 1.5,
     F157&lt;100, 2,
     F157&lt;120, 2.5,
     TRUE, 3)</f>
        <v>2.5</v>
      </c>
      <c r="O157" cm="1">
        <f t="array" ref="O157">_xlfn.IFS(G157&lt;50, 10,
     G157&lt;70, 15,
     G157&lt;100, 20,
     G157&lt;120, 25,
     TRUE, 30)</f>
        <v>20</v>
      </c>
      <c r="P157" cm="1">
        <f t="array" ref="P157">_xlfn.IFS(H157&lt;50, 1,
     H157&lt;70, 1.5,
     H157&lt;100, 2,
     H157&lt;120, 2.5,
     TRUE, 3)</f>
        <v>3</v>
      </c>
      <c r="Q157">
        <f t="shared" si="4"/>
        <v>3</v>
      </c>
      <c r="R157">
        <f t="shared" si="5"/>
        <v>3</v>
      </c>
      <c r="S157">
        <v>20</v>
      </c>
    </row>
    <row r="158" spans="1:19" x14ac:dyDescent="0.3">
      <c r="A158" s="25">
        <v>145</v>
      </c>
      <c r="B158" s="9"/>
      <c r="C158" s="10" t="s">
        <v>153</v>
      </c>
      <c r="D158" s="11">
        <v>90</v>
      </c>
      <c r="E158" s="12">
        <v>90</v>
      </c>
      <c r="F158" s="13">
        <v>85</v>
      </c>
      <c r="G158" s="14">
        <v>100</v>
      </c>
      <c r="H158" s="15">
        <v>125</v>
      </c>
      <c r="I158" s="8">
        <v>490</v>
      </c>
      <c r="J158" s="26">
        <v>98</v>
      </c>
      <c r="L158" cm="1">
        <f t="array" ref="L158">_xlfn.IFS(D158&lt;50, 1,
     D158&lt;70, 1.5,
     D158&lt;100, 2,
     D158&lt;120, 2.5,
     TRUE, 3)</f>
        <v>2</v>
      </c>
      <c r="M158" cm="1">
        <f t="array" ref="M158">_xlfn.IFS(E158&lt;50, 1,
     E158&lt;70, 1.5,
     E158&lt;100, 2,
     E158&lt;120, 2.5,
     TRUE, 3)</f>
        <v>2</v>
      </c>
      <c r="N158" cm="1">
        <f t="array" ref="N158">_xlfn.IFS(F158&lt;50, 1,
     F158&lt;70, 1.5,
     F158&lt;100, 2,
     F158&lt;120, 2.5,
     TRUE, 3)</f>
        <v>2</v>
      </c>
      <c r="O158" cm="1">
        <f t="array" ref="O158">_xlfn.IFS(G158&lt;50, 10,
     G158&lt;70, 15,
     G158&lt;100, 20,
     G158&lt;120, 25,
     TRUE, 30)</f>
        <v>25</v>
      </c>
      <c r="P158" cm="1">
        <f t="array" ref="P158">_xlfn.IFS(H158&lt;50, 1,
     H158&lt;70, 1.5,
     H158&lt;100, 2,
     H158&lt;120, 2.5,
     TRUE, 3)</f>
        <v>3</v>
      </c>
      <c r="Q158">
        <f t="shared" si="4"/>
        <v>3</v>
      </c>
      <c r="R158">
        <f t="shared" si="5"/>
        <v>3</v>
      </c>
      <c r="S158">
        <v>25</v>
      </c>
    </row>
    <row r="159" spans="1:19" x14ac:dyDescent="0.3">
      <c r="A159" s="25">
        <v>146</v>
      </c>
      <c r="B159" s="9"/>
      <c r="C159" s="10" t="s">
        <v>154</v>
      </c>
      <c r="D159" s="11">
        <v>90</v>
      </c>
      <c r="E159" s="12">
        <v>100</v>
      </c>
      <c r="F159" s="13">
        <v>90</v>
      </c>
      <c r="G159" s="14">
        <v>90</v>
      </c>
      <c r="H159" s="15">
        <v>125</v>
      </c>
      <c r="I159" s="8">
        <v>495</v>
      </c>
      <c r="J159" s="26">
        <v>99</v>
      </c>
      <c r="L159" cm="1">
        <f t="array" ref="L159">_xlfn.IFS(D159&lt;50, 1,
     D159&lt;70, 1.5,
     D159&lt;100, 2,
     D159&lt;120, 2.5,
     TRUE, 3)</f>
        <v>2</v>
      </c>
      <c r="M159" cm="1">
        <f t="array" ref="M159">_xlfn.IFS(E159&lt;50, 1,
     E159&lt;70, 1.5,
     E159&lt;100, 2,
     E159&lt;120, 2.5,
     TRUE, 3)</f>
        <v>2.5</v>
      </c>
      <c r="N159" cm="1">
        <f t="array" ref="N159">_xlfn.IFS(F159&lt;50, 1,
     F159&lt;70, 1.5,
     F159&lt;100, 2,
     F159&lt;120, 2.5,
     TRUE, 3)</f>
        <v>2</v>
      </c>
      <c r="O159" cm="1">
        <f t="array" ref="O159">_xlfn.IFS(G159&lt;50, 10,
     G159&lt;70, 15,
     G159&lt;100, 20,
     G159&lt;120, 25,
     TRUE, 30)</f>
        <v>20</v>
      </c>
      <c r="P159" cm="1">
        <f t="array" ref="P159">_xlfn.IFS(H159&lt;50, 1,
     H159&lt;70, 1.5,
     H159&lt;100, 2,
     H159&lt;120, 2.5,
     TRUE, 3)</f>
        <v>3</v>
      </c>
      <c r="Q159">
        <f t="shared" si="4"/>
        <v>3</v>
      </c>
      <c r="R159">
        <f t="shared" si="5"/>
        <v>3</v>
      </c>
      <c r="S159">
        <v>20</v>
      </c>
    </row>
    <row r="160" spans="1:19" x14ac:dyDescent="0.3">
      <c r="A160" s="25">
        <v>147</v>
      </c>
      <c r="B160" s="9"/>
      <c r="C160" s="10" t="s">
        <v>155</v>
      </c>
      <c r="D160" s="11">
        <v>41</v>
      </c>
      <c r="E160" s="12">
        <v>64</v>
      </c>
      <c r="F160" s="13">
        <v>45</v>
      </c>
      <c r="G160" s="14">
        <v>50</v>
      </c>
      <c r="H160" s="15">
        <v>50</v>
      </c>
      <c r="I160" s="8">
        <v>250</v>
      </c>
      <c r="J160" s="26">
        <v>50</v>
      </c>
      <c r="L160" cm="1">
        <f t="array" ref="L160">_xlfn.IFS(D160&lt;50, 1,
     D160&lt;70, 1.5,
     D160&lt;100, 2,
     D160&lt;120, 2.5,
     TRUE, 3)</f>
        <v>1</v>
      </c>
      <c r="M160" cm="1">
        <f t="array" ref="M160">_xlfn.IFS(E160&lt;50, 1,
     E160&lt;70, 1.5,
     E160&lt;100, 2,
     E160&lt;120, 2.5,
     TRUE, 3)</f>
        <v>1.5</v>
      </c>
      <c r="N160" cm="1">
        <f t="array" ref="N160">_xlfn.IFS(F160&lt;50, 1,
     F160&lt;70, 1.5,
     F160&lt;100, 2,
     F160&lt;120, 2.5,
     TRUE, 3)</f>
        <v>1</v>
      </c>
      <c r="O160" cm="1">
        <f t="array" ref="O160">_xlfn.IFS(G160&lt;50, 10,
     G160&lt;70, 15,
     G160&lt;100, 20,
     G160&lt;120, 25,
     TRUE, 30)</f>
        <v>15</v>
      </c>
      <c r="P160" cm="1">
        <f t="array" ref="P160">_xlfn.IFS(H160&lt;50, 1,
     H160&lt;70, 1.5,
     H160&lt;100, 2,
     H160&lt;120, 2.5,
     TRUE, 3)</f>
        <v>1.5</v>
      </c>
      <c r="Q160">
        <f t="shared" si="4"/>
        <v>1.5</v>
      </c>
      <c r="R160">
        <f t="shared" si="5"/>
        <v>1.5</v>
      </c>
      <c r="S160">
        <v>15</v>
      </c>
    </row>
    <row r="161" spans="1:19" x14ac:dyDescent="0.3">
      <c r="A161" s="25">
        <v>148</v>
      </c>
      <c r="B161" s="9"/>
      <c r="C161" s="10" t="s">
        <v>156</v>
      </c>
      <c r="D161" s="11">
        <v>61</v>
      </c>
      <c r="E161" s="12">
        <v>84</v>
      </c>
      <c r="F161" s="13">
        <v>65</v>
      </c>
      <c r="G161" s="14">
        <v>70</v>
      </c>
      <c r="H161" s="15">
        <v>70</v>
      </c>
      <c r="I161" s="8">
        <v>350</v>
      </c>
      <c r="J161" s="26">
        <v>70</v>
      </c>
      <c r="L161" cm="1">
        <f t="array" ref="L161">_xlfn.IFS(D161&lt;50, 1,
     D161&lt;70, 1.5,
     D161&lt;100, 2,
     D161&lt;120, 2.5,
     TRUE, 3)</f>
        <v>1.5</v>
      </c>
      <c r="M161" cm="1">
        <f t="array" ref="M161">_xlfn.IFS(E161&lt;50, 1,
     E161&lt;70, 1.5,
     E161&lt;100, 2,
     E161&lt;120, 2.5,
     TRUE, 3)</f>
        <v>2</v>
      </c>
      <c r="N161" cm="1">
        <f t="array" ref="N161">_xlfn.IFS(F161&lt;50, 1,
     F161&lt;70, 1.5,
     F161&lt;100, 2,
     F161&lt;120, 2.5,
     TRUE, 3)</f>
        <v>1.5</v>
      </c>
      <c r="O161" cm="1">
        <f t="array" ref="O161">_xlfn.IFS(G161&lt;50, 10,
     G161&lt;70, 15,
     G161&lt;100, 20,
     G161&lt;120, 25,
     TRUE, 30)</f>
        <v>20</v>
      </c>
      <c r="P161" cm="1">
        <f t="array" ref="P161">_xlfn.IFS(H161&lt;50, 1,
     H161&lt;70, 1.5,
     H161&lt;100, 2,
     H161&lt;120, 2.5,
     TRUE, 3)</f>
        <v>2</v>
      </c>
      <c r="Q161">
        <f t="shared" si="4"/>
        <v>2</v>
      </c>
      <c r="R161">
        <f t="shared" si="5"/>
        <v>2</v>
      </c>
      <c r="S161">
        <v>20</v>
      </c>
    </row>
    <row r="162" spans="1:19" x14ac:dyDescent="0.3">
      <c r="A162" s="25">
        <v>149</v>
      </c>
      <c r="B162" s="9"/>
      <c r="C162" s="10" t="s">
        <v>157</v>
      </c>
      <c r="D162" s="11">
        <v>91</v>
      </c>
      <c r="E162" s="12">
        <v>134</v>
      </c>
      <c r="F162" s="13">
        <v>95</v>
      </c>
      <c r="G162" s="14">
        <v>80</v>
      </c>
      <c r="H162" s="15">
        <v>100</v>
      </c>
      <c r="I162" s="8">
        <v>500</v>
      </c>
      <c r="J162" s="26">
        <v>100</v>
      </c>
      <c r="L162" cm="1">
        <f t="array" ref="L162">_xlfn.IFS(D162&lt;50, 1,
     D162&lt;70, 1.5,
     D162&lt;100, 2,
     D162&lt;120, 2.5,
     TRUE, 3)</f>
        <v>2</v>
      </c>
      <c r="M162" cm="1">
        <f t="array" ref="M162">_xlfn.IFS(E162&lt;50, 1,
     E162&lt;70, 1.5,
     E162&lt;100, 2,
     E162&lt;120, 2.5,
     TRUE, 3)</f>
        <v>3</v>
      </c>
      <c r="N162" cm="1">
        <f t="array" ref="N162">_xlfn.IFS(F162&lt;50, 1,
     F162&lt;70, 1.5,
     F162&lt;100, 2,
     F162&lt;120, 2.5,
     TRUE, 3)</f>
        <v>2</v>
      </c>
      <c r="O162" cm="1">
        <f t="array" ref="O162">_xlfn.IFS(G162&lt;50, 10,
     G162&lt;70, 15,
     G162&lt;100, 20,
     G162&lt;120, 25,
     TRUE, 30)</f>
        <v>20</v>
      </c>
      <c r="P162" cm="1">
        <f t="array" ref="P162">_xlfn.IFS(H162&lt;50, 1,
     H162&lt;70, 1.5,
     H162&lt;100, 2,
     H162&lt;120, 2.5,
     TRUE, 3)</f>
        <v>2.5</v>
      </c>
      <c r="Q162">
        <f t="shared" si="4"/>
        <v>3</v>
      </c>
      <c r="R162">
        <f t="shared" si="5"/>
        <v>2.5</v>
      </c>
      <c r="S162">
        <v>20</v>
      </c>
    </row>
    <row r="163" spans="1:19" x14ac:dyDescent="0.3">
      <c r="A163" s="25">
        <v>150</v>
      </c>
      <c r="B163" s="9"/>
      <c r="C163" s="10" t="s">
        <v>158</v>
      </c>
      <c r="D163" s="11">
        <v>106</v>
      </c>
      <c r="E163" s="12">
        <v>110</v>
      </c>
      <c r="F163" s="13">
        <v>90</v>
      </c>
      <c r="G163" s="14">
        <v>130</v>
      </c>
      <c r="H163" s="15">
        <v>154</v>
      </c>
      <c r="I163" s="8">
        <v>590</v>
      </c>
      <c r="J163" s="26">
        <v>118</v>
      </c>
      <c r="L163" cm="1">
        <f t="array" ref="L163">_xlfn.IFS(D163&lt;50, 1,
     D163&lt;70, 1.5,
     D163&lt;100, 2,
     D163&lt;120, 2.5,
     TRUE, 3)</f>
        <v>2.5</v>
      </c>
      <c r="M163" cm="1">
        <f t="array" ref="M163">_xlfn.IFS(E163&lt;50, 1,
     E163&lt;70, 1.5,
     E163&lt;100, 2,
     E163&lt;120, 2.5,
     TRUE, 3)</f>
        <v>2.5</v>
      </c>
      <c r="N163" cm="1">
        <f t="array" ref="N163">_xlfn.IFS(F163&lt;50, 1,
     F163&lt;70, 1.5,
     F163&lt;100, 2,
     F163&lt;120, 2.5,
     TRUE, 3)</f>
        <v>2</v>
      </c>
      <c r="O163" cm="1">
        <f t="array" ref="O163">_xlfn.IFS(G163&lt;50, 10,
     G163&lt;70, 15,
     G163&lt;100, 20,
     G163&lt;120, 25,
     TRUE, 30)</f>
        <v>30</v>
      </c>
      <c r="P163" cm="1">
        <f t="array" ref="P163">_xlfn.IFS(H163&lt;50, 1,
     H163&lt;70, 1.5,
     H163&lt;100, 2,
     H163&lt;120, 2.5,
     TRUE, 3)</f>
        <v>3</v>
      </c>
      <c r="Q163">
        <f t="shared" si="4"/>
        <v>3</v>
      </c>
      <c r="R163">
        <f t="shared" si="5"/>
        <v>3</v>
      </c>
      <c r="S163">
        <v>30</v>
      </c>
    </row>
    <row r="164" spans="1:19" ht="17.25" thickBot="1" x14ac:dyDescent="0.35">
      <c r="A164" s="27">
        <v>151</v>
      </c>
      <c r="B164" s="28"/>
      <c r="C164" s="29" t="s">
        <v>159</v>
      </c>
      <c r="D164" s="30">
        <v>100</v>
      </c>
      <c r="E164" s="31">
        <v>100</v>
      </c>
      <c r="F164" s="32">
        <v>100</v>
      </c>
      <c r="G164" s="33">
        <v>100</v>
      </c>
      <c r="H164" s="34">
        <v>100</v>
      </c>
      <c r="I164" s="35">
        <v>500</v>
      </c>
      <c r="J164" s="36">
        <v>100</v>
      </c>
      <c r="L164" cm="1">
        <f t="array" ref="L164">_xlfn.IFS(D164&lt;50, 1,
     D164&lt;70, 1.5,
     D164&lt;100, 2,
     D164&lt;120, 2.5,
     TRUE, 3)</f>
        <v>2.5</v>
      </c>
      <c r="M164" cm="1">
        <f t="array" ref="M164">_xlfn.IFS(E164&lt;50, 1,
     E164&lt;70, 1.5,
     E164&lt;100, 2,
     E164&lt;120, 2.5,
     TRUE, 3)</f>
        <v>2.5</v>
      </c>
      <c r="N164" cm="1">
        <f t="array" ref="N164">_xlfn.IFS(F164&lt;50, 1,
     F164&lt;70, 1.5,
     F164&lt;100, 2,
     F164&lt;120, 2.5,
     TRUE, 3)</f>
        <v>2.5</v>
      </c>
      <c r="O164" cm="1">
        <f t="array" ref="O164">_xlfn.IFS(G164&lt;50, 10,
     G164&lt;70, 15,
     G164&lt;100, 20,
     G164&lt;120, 25,
     TRUE, 30)</f>
        <v>25</v>
      </c>
      <c r="P164" cm="1">
        <f t="array" ref="P164">_xlfn.IFS(H164&lt;50, 1,
     H164&lt;70, 1.5,
     H164&lt;100, 2,
     H164&lt;120, 2.5,
     TRUE, 3)</f>
        <v>2.5</v>
      </c>
      <c r="Q164">
        <f t="shared" si="4"/>
        <v>2.5</v>
      </c>
      <c r="R164">
        <f t="shared" si="5"/>
        <v>2.5</v>
      </c>
      <c r="S164">
        <v>25</v>
      </c>
    </row>
    <row r="165" spans="1:19" ht="17.25" thickTop="1" x14ac:dyDescent="0.3">
      <c r="J165">
        <f>AVERAGE(J14:J164)</f>
        <v>68.547019867549665</v>
      </c>
      <c r="L165">
        <f>AVERAGE(L14:L164)</f>
        <v>1.5827814569536425</v>
      </c>
      <c r="M165">
        <f t="shared" ref="M165:S165" si="6">AVERAGE(M14:M164)</f>
        <v>1.7781456953642385</v>
      </c>
      <c r="N165">
        <f t="shared" si="6"/>
        <v>1.695364238410596</v>
      </c>
      <c r="O165">
        <f t="shared" si="6"/>
        <v>17.185430463576157</v>
      </c>
      <c r="P165">
        <f t="shared" si="6"/>
        <v>1.7483443708609272</v>
      </c>
      <c r="Q165">
        <f t="shared" si="6"/>
        <v>2.0463576158940397</v>
      </c>
      <c r="R165">
        <f t="shared" si="6"/>
        <v>1.9768211920529801</v>
      </c>
      <c r="S165">
        <f t="shared" si="6"/>
        <v>17.185430463576157</v>
      </c>
    </row>
  </sheetData>
  <phoneticPr fontId="9" type="noConversion"/>
  <hyperlinks>
    <hyperlink ref="A13" r:id="rId1" tooltip="전국도감" display="https://pokemon.fandom.com/ko/wiki/%EC%A0%84%EA%B5%AD%EB%8F%84%EA%B0%90" xr:uid="{C056EF3E-98B0-40F4-A8EA-C89E9579B154}"/>
    <hyperlink ref="C14" r:id="rId2" tooltip="이상해씨 (포켓몬)" display="https://pokemon.fandom.com/ko/wiki/%EC%9D%B4%EC%83%81%ED%95%B4%EC%94%A8_(%ED%8F%AC%EC%BC%93%EB%AA%AC)" xr:uid="{225A51C0-11E3-4E94-A1CA-0C9EC7022C86}"/>
    <hyperlink ref="C15" r:id="rId3" tooltip="이상해풀 (포켓몬)" display="https://pokemon.fandom.com/ko/wiki/%EC%9D%B4%EC%83%81%ED%95%B4%ED%92%80_(%ED%8F%AC%EC%BC%93%EB%AA%AC)" xr:uid="{7D1612D8-4BB7-4390-877D-53F9F24AF882}"/>
    <hyperlink ref="C16" r:id="rId4" tooltip="이상해꽃 (포켓몬)" display="https://pokemon.fandom.com/ko/wiki/%EC%9D%B4%EC%83%81%ED%95%B4%EA%BD%83_(%ED%8F%AC%EC%BC%93%EB%AA%AC)" xr:uid="{F497F58E-5BEB-41C5-A0D8-D187FE03A08A}"/>
    <hyperlink ref="C17" r:id="rId5" tooltip="파이리 (포켓몬)" display="https://pokemon.fandom.com/ko/wiki/%ED%8C%8C%EC%9D%B4%EB%A6%AC_(%ED%8F%AC%EC%BC%93%EB%AA%AC)" xr:uid="{85F1A679-5817-4669-BDA6-2012B073BDAD}"/>
    <hyperlink ref="C18" r:id="rId6" tooltip="리자드 (포켓몬)" display="https://pokemon.fandom.com/ko/wiki/%EB%A6%AC%EC%9E%90%EB%93%9C_(%ED%8F%AC%EC%BC%93%EB%AA%AC)" xr:uid="{AE3F1BD4-E385-44E4-8C0D-E89A27BFE2E4}"/>
    <hyperlink ref="C19" r:id="rId7" tooltip="리자몽 (포켓몬)" display="https://pokemon.fandom.com/ko/wiki/%EB%A6%AC%EC%9E%90%EB%AA%BD_(%ED%8F%AC%EC%BC%93%EB%AA%AC)" xr:uid="{D9CD113E-1086-46BD-A57C-A15B1A886BCA}"/>
    <hyperlink ref="C20" r:id="rId8" tooltip="꼬부기 (포켓몬)" display="https://pokemon.fandom.com/ko/wiki/%EA%BC%AC%EB%B6%80%EA%B8%B0_(%ED%8F%AC%EC%BC%93%EB%AA%AC)" xr:uid="{D1A5DF16-E567-4C9B-8FB5-F45A518EC29B}"/>
    <hyperlink ref="C21" r:id="rId9" tooltip="어니부기 (포켓몬)" display="https://pokemon.fandom.com/ko/wiki/%EC%96%B4%EB%8B%88%EB%B6%80%EA%B8%B0_(%ED%8F%AC%EC%BC%93%EB%AA%AC)" xr:uid="{F930D321-D3E1-4064-A192-453D391636A3}"/>
    <hyperlink ref="C22" r:id="rId10" tooltip="거북왕 (포켓몬)" display="https://pokemon.fandom.com/ko/wiki/%EA%B1%B0%EB%B6%81%EC%99%95_(%ED%8F%AC%EC%BC%93%EB%AA%AC)" xr:uid="{B773FD7F-E690-4FE6-ADB8-861CBE68FB32}"/>
    <hyperlink ref="C23" r:id="rId11" tooltip="캐터피 (포켓몬)" display="https://pokemon.fandom.com/ko/wiki/%EC%BA%90%ED%84%B0%ED%94%BC_(%ED%8F%AC%EC%BC%93%EB%AA%AC)" xr:uid="{C6A773BC-B5CB-4EA4-8F1B-6E48BB385385}"/>
    <hyperlink ref="C24" r:id="rId12" tooltip="단데기 (포켓몬)" display="https://pokemon.fandom.com/ko/wiki/%EB%8B%A8%EB%8D%B0%EA%B8%B0_(%ED%8F%AC%EC%BC%93%EB%AA%AC)" xr:uid="{6062F003-E486-4A9F-A2E0-C6DB1100CDA7}"/>
    <hyperlink ref="C25" r:id="rId13" tooltip="버터플 (포켓몬)" display="https://pokemon.fandom.com/ko/wiki/%EB%B2%84%ED%84%B0%ED%94%8C_(%ED%8F%AC%EC%BC%93%EB%AA%AC)" xr:uid="{8B5F2F3D-A9FD-4809-A78D-0411C9A7BCC8}"/>
    <hyperlink ref="C26" r:id="rId14" tooltip="뿔충이 (포켓몬)" display="https://pokemon.fandom.com/ko/wiki/%EB%BF%94%EC%B6%A9%EC%9D%B4_(%ED%8F%AC%EC%BC%93%EB%AA%AC)" xr:uid="{ECE59832-E385-4267-B488-B3F12069B2A1}"/>
    <hyperlink ref="C27" r:id="rId15" tooltip="딱충이 (포켓몬)" display="https://pokemon.fandom.com/ko/wiki/%EB%94%B1%EC%B6%A9%EC%9D%B4_(%ED%8F%AC%EC%BC%93%EB%AA%AC)" xr:uid="{13D1182A-0EAD-471F-B877-324B50C65700}"/>
    <hyperlink ref="C28" r:id="rId16" tooltip="독침붕 (포켓몬)" display="https://pokemon.fandom.com/ko/wiki/%EB%8F%85%EC%B9%A8%EB%B6%95_(%ED%8F%AC%EC%BC%93%EB%AA%AC)" xr:uid="{D460134E-ABA7-45B1-8DBF-096FFA37DCA3}"/>
    <hyperlink ref="C29" r:id="rId17" tooltip="구구 (포켓몬)" display="https://pokemon.fandom.com/ko/wiki/%EA%B5%AC%EA%B5%AC_(%ED%8F%AC%EC%BC%93%EB%AA%AC)" xr:uid="{011DE769-B66B-40D0-82C7-DB2036CC47AD}"/>
    <hyperlink ref="C30" r:id="rId18" tooltip="피죤 (포켓몬)" display="https://pokemon.fandom.com/ko/wiki/%ED%94%BC%EC%A3%A4_(%ED%8F%AC%EC%BC%93%EB%AA%AC)" xr:uid="{3EE6B946-AE71-4898-A86E-6295D0AE92D4}"/>
    <hyperlink ref="C31" r:id="rId19" tooltip="피죤투 (포켓몬)" display="https://pokemon.fandom.com/ko/wiki/%ED%94%BC%EC%A3%A4%ED%88%AC_(%ED%8F%AC%EC%BC%93%EB%AA%AC)" xr:uid="{71352255-2B31-4A86-BC0F-CFDF87BF7F04}"/>
    <hyperlink ref="C32" r:id="rId20" tooltip="꼬렛 (포켓몬)" display="https://pokemon.fandom.com/ko/wiki/%EA%BC%AC%EB%A0%9B_(%ED%8F%AC%EC%BC%93%EB%AA%AC)" xr:uid="{1EE60C15-598D-437F-88B2-8771872A7AE3}"/>
    <hyperlink ref="C33" r:id="rId21" tooltip="레트라 (포켓몬)" display="https://pokemon.fandom.com/ko/wiki/%EB%A0%88%ED%8A%B8%EB%9D%BC_(%ED%8F%AC%EC%BC%93%EB%AA%AC)" xr:uid="{3492076B-9ECB-4C67-BB41-6C1C67BD59EF}"/>
    <hyperlink ref="C34" r:id="rId22" tooltip="깨비참 (포켓몬)" display="https://pokemon.fandom.com/ko/wiki/%EA%B9%A8%EB%B9%84%EC%B0%B8_(%ED%8F%AC%EC%BC%93%EB%AA%AC)" xr:uid="{706D8848-4585-4126-AB20-0C170294364E}"/>
    <hyperlink ref="C35" r:id="rId23" tooltip="깨비드릴조 (포켓몬)" display="https://pokemon.fandom.com/ko/wiki/%EA%B9%A8%EB%B9%84%EB%93%9C%EB%A6%B4%EC%A1%B0_(%ED%8F%AC%EC%BC%93%EB%AA%AC)" xr:uid="{B00F2BC5-1CA1-4E7E-A068-BFE815DF3E97}"/>
    <hyperlink ref="C36" r:id="rId24" tooltip="아보 (포켓몬)" display="https://pokemon.fandom.com/ko/wiki/%EC%95%84%EB%B3%B4_(%ED%8F%AC%EC%BC%93%EB%AA%AC)" xr:uid="{BAE934A2-8DEB-4637-9DD3-C84B8A1002B5}"/>
    <hyperlink ref="C37" r:id="rId25" tooltip="아보크 (포켓몬)" display="https://pokemon.fandom.com/ko/wiki/%EC%95%84%EB%B3%B4%ED%81%AC_(%ED%8F%AC%EC%BC%93%EB%AA%AC)" xr:uid="{FAE3E92B-363C-4189-A0D6-AD9096B3D329}"/>
    <hyperlink ref="C38" r:id="rId26" tooltip="피카츄 (포켓몬)" display="https://pokemon.fandom.com/ko/wiki/%ED%94%BC%EC%B9%B4%EC%B8%84_(%ED%8F%AC%EC%BC%93%EB%AA%AC)" xr:uid="{6BA95A66-B010-45F1-B000-5B5831FEB024}"/>
    <hyperlink ref="C39" r:id="rId27" tooltip="라이츄 (포켓몬)" display="https://pokemon.fandom.com/ko/wiki/%EB%9D%BC%EC%9D%B4%EC%B8%84_(%ED%8F%AC%EC%BC%93%EB%AA%AC)" xr:uid="{768B032A-3327-4FD7-A502-2A561988B916}"/>
    <hyperlink ref="C40" r:id="rId28" tooltip="모래두지 (포켓몬)" display="https://pokemon.fandom.com/ko/wiki/%EB%AA%A8%EB%9E%98%EB%91%90%EC%A7%80_(%ED%8F%AC%EC%BC%93%EB%AA%AC)" xr:uid="{B3799D92-685B-404E-ACBB-FB123D5D4C79}"/>
    <hyperlink ref="C41" r:id="rId29" tooltip="고지 (포켓몬)" display="https://pokemon.fandom.com/ko/wiki/%EA%B3%A0%EC%A7%80_(%ED%8F%AC%EC%BC%93%EB%AA%AC)" xr:uid="{0AA0FD50-5A90-49B4-B0B8-BE2AA615F54A}"/>
    <hyperlink ref="C42" r:id="rId30" tooltip="니드런♀ (포켓몬)" display="https://pokemon.fandom.com/ko/wiki/%EB%8B%88%EB%93%9C%EB%9F%B0%E2%99%80_(%ED%8F%AC%EC%BC%93%EB%AA%AC)" xr:uid="{B03D0BB1-A9F3-435F-B74D-2E2D498B320A}"/>
    <hyperlink ref="C43" r:id="rId31" tooltip="니드리나 (포켓몬)" display="https://pokemon.fandom.com/ko/wiki/%EB%8B%88%EB%93%9C%EB%A6%AC%EB%82%98_(%ED%8F%AC%EC%BC%93%EB%AA%AC)" xr:uid="{156B7D13-AFEB-4302-ADB1-5F63F8E1E412}"/>
    <hyperlink ref="C44" r:id="rId32" tooltip="니드퀸 (포켓몬)" display="https://pokemon.fandom.com/ko/wiki/%EB%8B%88%EB%93%9C%ED%80%B8_(%ED%8F%AC%EC%BC%93%EB%AA%AC)" xr:uid="{D7CE6E63-1F31-41C3-9DC4-3179489E3441}"/>
    <hyperlink ref="C45" r:id="rId33" tooltip="니드런♂ (포켓몬)" display="https://pokemon.fandom.com/ko/wiki/%EB%8B%88%EB%93%9C%EB%9F%B0%E2%99%82_(%ED%8F%AC%EC%BC%93%EB%AA%AC)" xr:uid="{1D164870-B98F-4D3C-BB22-64B1441862F5}"/>
    <hyperlink ref="C46" r:id="rId34" tooltip="니드리노 (포켓몬)" display="https://pokemon.fandom.com/ko/wiki/%EB%8B%88%EB%93%9C%EB%A6%AC%EB%85%B8_(%ED%8F%AC%EC%BC%93%EB%AA%AC)" xr:uid="{5C031EA4-5D09-4657-A489-D5755B170389}"/>
    <hyperlink ref="C47" r:id="rId35" tooltip="니드킹 (포켓몬)" display="https://pokemon.fandom.com/ko/wiki/%EB%8B%88%EB%93%9C%ED%82%B9_(%ED%8F%AC%EC%BC%93%EB%AA%AC)" xr:uid="{D6A1369D-6E6E-42A7-8A03-330F326BFC68}"/>
    <hyperlink ref="C48" r:id="rId36" tooltip="삐삐 (포켓몬)" display="https://pokemon.fandom.com/ko/wiki/%EC%82%90%EC%82%90_(%ED%8F%AC%EC%BC%93%EB%AA%AC)" xr:uid="{CF9BAF3E-F07C-40AA-8E5A-D944113060C8}"/>
    <hyperlink ref="C49" r:id="rId37" tooltip="픽시 (포켓몬)" display="https://pokemon.fandom.com/ko/wiki/%ED%94%BD%EC%8B%9C_(%ED%8F%AC%EC%BC%93%EB%AA%AC)" xr:uid="{3FED0F3C-F333-4718-B669-F55DDE0F0DF3}"/>
    <hyperlink ref="C50" r:id="rId38" tooltip="식스테일 (포켓몬)" display="https://pokemon.fandom.com/ko/wiki/%EC%8B%9D%EC%8A%A4%ED%85%8C%EC%9D%BC_(%ED%8F%AC%EC%BC%93%EB%AA%AC)" xr:uid="{F8F3529E-9E0E-4DC6-A257-6D8A2BDCDF53}"/>
    <hyperlink ref="C51" r:id="rId39" tooltip="나인테일 (포켓몬)" display="https://pokemon.fandom.com/ko/wiki/%EB%82%98%EC%9D%B8%ED%85%8C%EC%9D%BC_(%ED%8F%AC%EC%BC%93%EB%AA%AC)" xr:uid="{6F7BFE85-FA24-4782-9B4C-72A2D0D8F224}"/>
    <hyperlink ref="C52" r:id="rId40" tooltip="푸린 (포켓몬)" display="https://pokemon.fandom.com/ko/wiki/%ED%91%B8%EB%A6%B0_(%ED%8F%AC%EC%BC%93%EB%AA%AC)" xr:uid="{1E544FA2-8F4F-4556-8520-275D96B5882C}"/>
    <hyperlink ref="C53" r:id="rId41" tooltip="푸크린 (포켓몬)" display="https://pokemon.fandom.com/ko/wiki/%ED%91%B8%ED%81%AC%EB%A6%B0_(%ED%8F%AC%EC%BC%93%EB%AA%AC)" xr:uid="{3FE24828-61A5-42CE-BCFA-0E36FC0B5546}"/>
    <hyperlink ref="C54" r:id="rId42" tooltip="주뱃 (포켓몬)" display="https://pokemon.fandom.com/ko/wiki/%EC%A3%BC%EB%B1%83_(%ED%8F%AC%EC%BC%93%EB%AA%AC)" xr:uid="{B25789AF-1328-4B2E-A79E-6439839C9F40}"/>
    <hyperlink ref="C55" r:id="rId43" tooltip="골뱃 (포켓몬)" display="https://pokemon.fandom.com/ko/wiki/%EA%B3%A8%EB%B1%83_(%ED%8F%AC%EC%BC%93%EB%AA%AC)" xr:uid="{DBC7A445-9AAD-4132-A3F7-6A50F16F1F4C}"/>
    <hyperlink ref="C56" r:id="rId44" tooltip="뚜벅쵸 (포켓몬)" display="https://pokemon.fandom.com/ko/wiki/%EB%9A%9C%EB%B2%85%EC%B5%B8_(%ED%8F%AC%EC%BC%93%EB%AA%AC)" xr:uid="{0F412DA2-8700-4A37-B29F-7A2F62F3EED2}"/>
    <hyperlink ref="C57" r:id="rId45" tooltip="냄새꼬 (포켓몬)" display="https://pokemon.fandom.com/ko/wiki/%EB%83%84%EC%83%88%EA%BC%AC_(%ED%8F%AC%EC%BC%93%EB%AA%AC)" xr:uid="{5BD25A43-2304-4E9C-971C-1707A2EF86AD}"/>
    <hyperlink ref="C58" r:id="rId46" tooltip="라플레시아 (포켓몬)" display="https://pokemon.fandom.com/ko/wiki/%EB%9D%BC%ED%94%8C%EB%A0%88%EC%8B%9C%EC%95%84_(%ED%8F%AC%EC%BC%93%EB%AA%AC)" xr:uid="{D4BB137A-AFD2-43EE-9E9D-3643E634C194}"/>
    <hyperlink ref="C59" r:id="rId47" tooltip="파라스 (포켓몬)" display="https://pokemon.fandom.com/ko/wiki/%ED%8C%8C%EB%9D%BC%EC%8A%A4_(%ED%8F%AC%EC%BC%93%EB%AA%AC)" xr:uid="{A5DC0BD1-CECD-4A71-B093-7E369FB0ED7F}"/>
    <hyperlink ref="C60" r:id="rId48" tooltip="파라섹트 (포켓몬)" display="https://pokemon.fandom.com/ko/wiki/%ED%8C%8C%EB%9D%BC%EC%84%B9%ED%8A%B8_(%ED%8F%AC%EC%BC%93%EB%AA%AC)" xr:uid="{0197B111-7A3D-4B19-A0F0-D6770E07657E}"/>
    <hyperlink ref="C61" r:id="rId49" tooltip="콘팡 (포켓몬)" display="https://pokemon.fandom.com/ko/wiki/%EC%BD%98%ED%8C%A1_(%ED%8F%AC%EC%BC%93%EB%AA%AC)" xr:uid="{E3BCA148-E4F8-4BD6-AF6C-7A2D9DAA46CB}"/>
    <hyperlink ref="C62" r:id="rId50" tooltip="도나리 (포켓몬)" display="https://pokemon.fandom.com/ko/wiki/%EB%8F%84%EB%82%98%EB%A6%AC_(%ED%8F%AC%EC%BC%93%EB%AA%AC)" xr:uid="{350384AE-3107-4482-8630-D825916539D2}"/>
    <hyperlink ref="C63" r:id="rId51" tooltip="디그다 (포켓몬)" display="https://pokemon.fandom.com/ko/wiki/%EB%94%94%EA%B7%B8%EB%8B%A4_(%ED%8F%AC%EC%BC%93%EB%AA%AC)" xr:uid="{3F7B6AA5-6340-4998-889E-13784D65148D}"/>
    <hyperlink ref="C64" r:id="rId52" tooltip="닥트리오 (포켓몬)" display="https://pokemon.fandom.com/ko/wiki/%EB%8B%A5%ED%8A%B8%EB%A6%AC%EC%98%A4_(%ED%8F%AC%EC%BC%93%EB%AA%AC)" xr:uid="{77970C5C-7AC0-45DB-8843-D184CD432655}"/>
    <hyperlink ref="C65" r:id="rId53" tooltip="나옹 (포켓몬)" display="https://pokemon.fandom.com/ko/wiki/%EB%82%98%EC%98%B9_(%ED%8F%AC%EC%BC%93%EB%AA%AC)" xr:uid="{A649728D-0A90-4822-BB02-20019372A243}"/>
    <hyperlink ref="C66" r:id="rId54" tooltip="페르시온 (포켓몬)" display="https://pokemon.fandom.com/ko/wiki/%ED%8E%98%EB%A5%B4%EC%8B%9C%EC%98%A8_(%ED%8F%AC%EC%BC%93%EB%AA%AC)" xr:uid="{C4ECA815-08FD-4929-8AC7-B28676EA2A85}"/>
    <hyperlink ref="C67" r:id="rId55" tooltip="고라파덕 (포켓몬)" display="https://pokemon.fandom.com/ko/wiki/%EA%B3%A0%EB%9D%BC%ED%8C%8C%EB%8D%95_(%ED%8F%AC%EC%BC%93%EB%AA%AC)" xr:uid="{9CD4F94B-253A-49CA-9D2C-79FD0260E21A}"/>
    <hyperlink ref="C68" r:id="rId56" tooltip="골덕 (포켓몬)" display="https://pokemon.fandom.com/ko/wiki/%EA%B3%A8%EB%8D%95_(%ED%8F%AC%EC%BC%93%EB%AA%AC)" xr:uid="{043B30C5-D74C-4DB7-9A50-4E82270C0F5A}"/>
    <hyperlink ref="C69" r:id="rId57" tooltip="망키 (포켓몬)" display="https://pokemon.fandom.com/ko/wiki/%EB%A7%9D%ED%82%A4_(%ED%8F%AC%EC%BC%93%EB%AA%AC)" xr:uid="{93FAE723-68F5-4138-A4C7-11AB960402BB}"/>
    <hyperlink ref="C70" r:id="rId58" tooltip="성원숭 (포켓몬)" display="https://pokemon.fandom.com/ko/wiki/%EC%84%B1%EC%9B%90%EC%88%AD_(%ED%8F%AC%EC%BC%93%EB%AA%AC)" xr:uid="{DC552F55-C94C-499F-A38A-28597D224276}"/>
    <hyperlink ref="C71" r:id="rId59" tooltip="가디 (포켓몬)" display="https://pokemon.fandom.com/ko/wiki/%EA%B0%80%EB%94%94_(%ED%8F%AC%EC%BC%93%EB%AA%AC)" xr:uid="{EB4524DF-63D3-4C96-916F-4734FAE4FA95}"/>
    <hyperlink ref="C72" r:id="rId60" tooltip="윈디 (포켓몬)" display="https://pokemon.fandom.com/ko/wiki/%EC%9C%88%EB%94%94_(%ED%8F%AC%EC%BC%93%EB%AA%AC)" xr:uid="{BB700EBB-F177-41A2-A37A-FD5C4982F3C7}"/>
    <hyperlink ref="C73" r:id="rId61" tooltip="발챙이 (포켓몬)" display="https://pokemon.fandom.com/ko/wiki/%EB%B0%9C%EC%B1%99%EC%9D%B4_(%ED%8F%AC%EC%BC%93%EB%AA%AC)" xr:uid="{9DF22DBB-1EAF-4DAF-AC27-0D048CF6D0C6}"/>
    <hyperlink ref="C74" r:id="rId62" tooltip="슈륙챙이 (포켓몬)" display="https://pokemon.fandom.com/ko/wiki/%EC%8A%88%EB%A5%99%EC%B1%99%EC%9D%B4_(%ED%8F%AC%EC%BC%93%EB%AA%AC)" xr:uid="{58BA6770-B590-47F7-96D7-A562589C1863}"/>
    <hyperlink ref="C75" r:id="rId63" tooltip="강챙이 (포켓몬)" display="https://pokemon.fandom.com/ko/wiki/%EA%B0%95%EC%B1%99%EC%9D%B4_(%ED%8F%AC%EC%BC%93%EB%AA%AC)" xr:uid="{9137824D-C37F-4C78-BE5E-871A25B9E2EA}"/>
    <hyperlink ref="C76" r:id="rId64" tooltip="캐이시 (포켓몬)" display="https://pokemon.fandom.com/ko/wiki/%EC%BA%90%EC%9D%B4%EC%8B%9C_(%ED%8F%AC%EC%BC%93%EB%AA%AC)" xr:uid="{9B671EAB-96B4-4C74-BD2F-9B52F2FBC579}"/>
    <hyperlink ref="C77" r:id="rId65" tooltip="윤겔라 (포켓몬)" display="https://pokemon.fandom.com/ko/wiki/%EC%9C%A4%EA%B2%94%EB%9D%BC_(%ED%8F%AC%EC%BC%93%EB%AA%AC)" xr:uid="{18774297-9AFE-4D32-AF74-9759C0BB4E23}"/>
    <hyperlink ref="C78" r:id="rId66" tooltip="후딘 (포켓몬)" display="https://pokemon.fandom.com/ko/wiki/%ED%9B%84%EB%94%98_(%ED%8F%AC%EC%BC%93%EB%AA%AC)" xr:uid="{71CCE809-A83C-409F-93A2-A6B46F839E8B}"/>
    <hyperlink ref="C79" r:id="rId67" tooltip="알통몬 (포켓몬)" display="https://pokemon.fandom.com/ko/wiki/%EC%95%8C%ED%86%B5%EB%AA%AC_(%ED%8F%AC%EC%BC%93%EB%AA%AC)" xr:uid="{762422C2-EF00-4714-89D3-9933472E4535}"/>
    <hyperlink ref="C80" r:id="rId68" tooltip="근육몬 (포켓몬)" display="https://pokemon.fandom.com/ko/wiki/%EA%B7%BC%EC%9C%A1%EB%AA%AC_(%ED%8F%AC%EC%BC%93%EB%AA%AC)" xr:uid="{E29765A8-A8E1-4B10-987B-79857A7B7A63}"/>
    <hyperlink ref="C81" r:id="rId69" tooltip="괴력몬 (포켓몬)" display="https://pokemon.fandom.com/ko/wiki/%EA%B4%B4%EB%A0%A5%EB%AA%AC_(%ED%8F%AC%EC%BC%93%EB%AA%AC)" xr:uid="{BE2E6845-77FA-4C66-BE11-7E2494B8EF25}"/>
    <hyperlink ref="C82" r:id="rId70" tooltip="모다피 (포켓몬)" display="https://pokemon.fandom.com/ko/wiki/%EB%AA%A8%EB%8B%A4%ED%94%BC_(%ED%8F%AC%EC%BC%93%EB%AA%AC)" xr:uid="{7272C388-E80C-4B97-BFFC-0DD0DA7138FD}"/>
    <hyperlink ref="C83" r:id="rId71" tooltip="우츠동 (포켓몬)" display="https://pokemon.fandom.com/ko/wiki/%EC%9A%B0%EC%B8%A0%EB%8F%99_(%ED%8F%AC%EC%BC%93%EB%AA%AC)" xr:uid="{B8DCDFA7-D875-45A1-BCD9-BE3EDC609809}"/>
    <hyperlink ref="C84" r:id="rId72" tooltip="우츠보트 (포켓몬)" display="https://pokemon.fandom.com/ko/wiki/%EC%9A%B0%EC%B8%A0%EB%B3%B4%ED%8A%B8_(%ED%8F%AC%EC%BC%93%EB%AA%AC)" xr:uid="{B0A44828-F516-4570-B834-7EA97EBE0459}"/>
    <hyperlink ref="C85" r:id="rId73" tooltip="왕눈해 (포켓몬)" display="https://pokemon.fandom.com/ko/wiki/%EC%99%95%EB%88%88%ED%95%B4_(%ED%8F%AC%EC%BC%93%EB%AA%AC)" xr:uid="{59318674-018E-495B-B1F9-78D653AE1F94}"/>
    <hyperlink ref="C86" r:id="rId74" tooltip="독파리 (포켓몬)" display="https://pokemon.fandom.com/ko/wiki/%EB%8F%85%ED%8C%8C%EB%A6%AC_(%ED%8F%AC%EC%BC%93%EB%AA%AC)" xr:uid="{868E072A-80DC-4DE8-A7EE-0C92A5DF1590}"/>
    <hyperlink ref="C87" r:id="rId75" tooltip="꼬마돌 (포켓몬)" display="https://pokemon.fandom.com/ko/wiki/%EA%BC%AC%EB%A7%88%EB%8F%8C_(%ED%8F%AC%EC%BC%93%EB%AA%AC)" xr:uid="{00B6AE4A-26A6-47C7-9642-0572251D7718}"/>
    <hyperlink ref="C88" r:id="rId76" tooltip="데구리 (포켓몬)" display="https://pokemon.fandom.com/ko/wiki/%EB%8D%B0%EA%B5%AC%EB%A6%AC_(%ED%8F%AC%EC%BC%93%EB%AA%AC)" xr:uid="{0C7E598E-DD45-44BF-9CF6-0B273AE4D8D0}"/>
    <hyperlink ref="C89" r:id="rId77" tooltip="딱구리 (포켓몬)" display="https://pokemon.fandom.com/ko/wiki/%EB%94%B1%EA%B5%AC%EB%A6%AC_(%ED%8F%AC%EC%BC%93%EB%AA%AC)" xr:uid="{26F140A3-D70F-4BC8-97B3-A3901AD60F44}"/>
    <hyperlink ref="C90" r:id="rId78" tooltip="포니타 (포켓몬)" display="https://pokemon.fandom.com/ko/wiki/%ED%8F%AC%EB%8B%88%ED%83%80_(%ED%8F%AC%EC%BC%93%EB%AA%AC)" xr:uid="{1B14247D-4C38-4B4D-838A-B8BA05E6643F}"/>
    <hyperlink ref="C91" r:id="rId79" tooltip="날쌩마 (포켓몬)" display="https://pokemon.fandom.com/ko/wiki/%EB%82%A0%EC%8C%A9%EB%A7%88_(%ED%8F%AC%EC%BC%93%EB%AA%AC)" xr:uid="{D49B2FFC-6D39-4BCB-886C-7FB3A7432332}"/>
    <hyperlink ref="C92" r:id="rId80" tooltip="야돈 (포켓몬)" display="https://pokemon.fandom.com/ko/wiki/%EC%95%BC%EB%8F%88_(%ED%8F%AC%EC%BC%93%EB%AA%AC)" xr:uid="{A63AB101-B2AD-4E43-81BF-FBDE600FBB9C}"/>
    <hyperlink ref="C93" r:id="rId81" tooltip="야도란 (포켓몬)" display="https://pokemon.fandom.com/ko/wiki/%EC%95%BC%EB%8F%84%EB%9E%80_(%ED%8F%AC%EC%BC%93%EB%AA%AC)" xr:uid="{030A2B51-E767-44E7-9746-8FAFBA8FB7D6}"/>
    <hyperlink ref="C94" r:id="rId82" tooltip="코일 (포켓몬)" display="https://pokemon.fandom.com/ko/wiki/%EC%BD%94%EC%9D%BC_(%ED%8F%AC%EC%BC%93%EB%AA%AC)" xr:uid="{1BE99D90-40A2-4DE9-93FB-1139286CC525}"/>
    <hyperlink ref="C95" r:id="rId83" tooltip="레어코일 (포켓몬)" display="https://pokemon.fandom.com/ko/wiki/%EB%A0%88%EC%96%B4%EC%BD%94%EC%9D%BC_(%ED%8F%AC%EC%BC%93%EB%AA%AC)" xr:uid="{E0055F89-149E-46DE-827B-870620A63D83}"/>
    <hyperlink ref="C96" r:id="rId84" tooltip="파오리 (포켓몬)" display="https://pokemon.fandom.com/ko/wiki/%ED%8C%8C%EC%98%A4%EB%A6%AC_(%ED%8F%AC%EC%BC%93%EB%AA%AC)" xr:uid="{043239CA-9524-44F5-8892-CED649627B56}"/>
    <hyperlink ref="C97" r:id="rId85" tooltip="두두 (포켓몬)" display="https://pokemon.fandom.com/ko/wiki/%EB%91%90%EB%91%90_(%ED%8F%AC%EC%BC%93%EB%AA%AC)" xr:uid="{3E21A0C3-C69A-4EB4-815A-1DE0A14D7989}"/>
    <hyperlink ref="C98" r:id="rId86" tooltip="두트리오 (포켓몬)" display="https://pokemon.fandom.com/ko/wiki/%EB%91%90%ED%8A%B8%EB%A6%AC%EC%98%A4_(%ED%8F%AC%EC%BC%93%EB%AA%AC)" xr:uid="{B55D1042-5EC2-4DD9-AD1D-ED9D2A6A5E84}"/>
    <hyperlink ref="C99" r:id="rId87" tooltip="쥬쥬 (포켓몬)" display="https://pokemon.fandom.com/ko/wiki/%EC%A5%AC%EC%A5%AC_(%ED%8F%AC%EC%BC%93%EB%AA%AC)" xr:uid="{CE318093-6D7A-435C-9EF0-CBE577AE6676}"/>
    <hyperlink ref="C100" r:id="rId88" tooltip="쥬레곤 (포켓몬)" display="https://pokemon.fandom.com/ko/wiki/%EC%A5%AC%EB%A0%88%EA%B3%A4_(%ED%8F%AC%EC%BC%93%EB%AA%AC)" xr:uid="{E4DB534A-A9A9-4145-8880-170C8D188017}"/>
    <hyperlink ref="C101" r:id="rId89" tooltip="질퍽이 (포켓몬)" display="https://pokemon.fandom.com/ko/wiki/%EC%A7%88%ED%8D%BD%EC%9D%B4_(%ED%8F%AC%EC%BC%93%EB%AA%AC)" xr:uid="{EE236621-98F6-4877-AA30-795820E2B77A}"/>
    <hyperlink ref="C102" r:id="rId90" tooltip="질뻐기 (포켓몬)" display="https://pokemon.fandom.com/ko/wiki/%EC%A7%88%EB%BB%90%EA%B8%B0_(%ED%8F%AC%EC%BC%93%EB%AA%AC)" xr:uid="{99885A34-CCA5-492C-BACB-3AA81D26DFE2}"/>
    <hyperlink ref="C103" r:id="rId91" tooltip="셀러 (포켓몬)" display="https://pokemon.fandom.com/ko/wiki/%EC%85%80%EB%9F%AC_(%ED%8F%AC%EC%BC%93%EB%AA%AC)" xr:uid="{8684248F-2BD3-4467-97E9-CEAE925CB466}"/>
    <hyperlink ref="C104" r:id="rId92" tooltip="파르셀 (포켓몬)" display="https://pokemon.fandom.com/ko/wiki/%ED%8C%8C%EB%A5%B4%EC%85%80_(%ED%8F%AC%EC%BC%93%EB%AA%AC)" xr:uid="{2BA54FAB-CEC1-4CDB-988E-4E8FA597E822}"/>
    <hyperlink ref="C105" r:id="rId93" tooltip="고오스 (포켓몬)" display="https://pokemon.fandom.com/ko/wiki/%EA%B3%A0%EC%98%A4%EC%8A%A4_(%ED%8F%AC%EC%BC%93%EB%AA%AC)" xr:uid="{21AE0323-A048-4396-9DCC-794587A60997}"/>
    <hyperlink ref="C106" r:id="rId94" tooltip="고우스트 (포켓몬)" display="https://pokemon.fandom.com/ko/wiki/%EA%B3%A0%EC%9A%B0%EC%8A%A4%ED%8A%B8_(%ED%8F%AC%EC%BC%93%EB%AA%AC)" xr:uid="{CB126D08-1807-4CAD-B4C6-B2762ACBFB33}"/>
    <hyperlink ref="C107" r:id="rId95" tooltip="팬텀 (포켓몬)" display="https://pokemon.fandom.com/ko/wiki/%ED%8C%AC%ED%85%80_(%ED%8F%AC%EC%BC%93%EB%AA%AC)" xr:uid="{0C56625F-C278-44AE-9E6B-FD5EE153F742}"/>
    <hyperlink ref="C108" r:id="rId96" tooltip="롱스톤 (포켓몬)" display="https://pokemon.fandom.com/ko/wiki/%EB%A1%B1%EC%8A%A4%ED%86%A4_(%ED%8F%AC%EC%BC%93%EB%AA%AC)" xr:uid="{C73F0C24-65C2-4D98-8F79-EF6349D3F41A}"/>
    <hyperlink ref="C109" r:id="rId97" tooltip="슬리프 (포켓몬)" display="https://pokemon.fandom.com/ko/wiki/%EC%8A%AC%EB%A6%AC%ED%94%84_(%ED%8F%AC%EC%BC%93%EB%AA%AC)" xr:uid="{9F91DBAD-45C8-4D03-ACA7-A2C2CDF496D8}"/>
    <hyperlink ref="C110" r:id="rId98" tooltip="슬리퍼 (포켓몬)" display="https://pokemon.fandom.com/ko/wiki/%EC%8A%AC%EB%A6%AC%ED%8D%BC_(%ED%8F%AC%EC%BC%93%EB%AA%AC)" xr:uid="{B6FF8E7F-9073-40D6-8C9E-D45E95D0D1A5}"/>
    <hyperlink ref="C111" r:id="rId99" tooltip="크랩 (포켓몬)" display="https://pokemon.fandom.com/ko/wiki/%ED%81%AC%EB%9E%A9_(%ED%8F%AC%EC%BC%93%EB%AA%AC)" xr:uid="{8D946272-AF1F-4129-A0AB-BD62464261F0}"/>
    <hyperlink ref="C112" r:id="rId100" tooltip="킹크랩 (포켓몬)" display="https://pokemon.fandom.com/ko/wiki/%ED%82%B9%ED%81%AC%EB%9E%A9_(%ED%8F%AC%EC%BC%93%EB%AA%AC)" xr:uid="{3DCC78A8-9771-4F28-90A9-8948F7989D76}"/>
    <hyperlink ref="C113" r:id="rId101" tooltip="찌리리공 (포켓몬)" display="https://pokemon.fandom.com/ko/wiki/%EC%B0%8C%EB%A6%AC%EB%A6%AC%EA%B3%B5_(%ED%8F%AC%EC%BC%93%EB%AA%AC)" xr:uid="{21667D0C-7931-431C-8DE5-D118179E5F42}"/>
    <hyperlink ref="C114" r:id="rId102" tooltip="붐볼 (포켓몬)" display="https://pokemon.fandom.com/ko/wiki/%EB%B6%90%EB%B3%BC_(%ED%8F%AC%EC%BC%93%EB%AA%AC)" xr:uid="{6193DFD8-44B3-4CEE-BC14-71F1001A695E}"/>
    <hyperlink ref="C115" r:id="rId103" tooltip="아라리 (포켓몬)" display="https://pokemon.fandom.com/ko/wiki/%EC%95%84%EB%9D%BC%EB%A6%AC_(%ED%8F%AC%EC%BC%93%EB%AA%AC)" xr:uid="{80074A01-4170-4C64-BFF9-9DF31659149E}"/>
    <hyperlink ref="C116" r:id="rId104" tooltip="나시 (포켓몬)" display="https://pokemon.fandom.com/ko/wiki/%EB%82%98%EC%8B%9C_(%ED%8F%AC%EC%BC%93%EB%AA%AC)" xr:uid="{0C40ADC4-AC20-4922-8B70-E9072A1CA4A6}"/>
    <hyperlink ref="C117" r:id="rId105" tooltip="탕구리 (포켓몬)" display="https://pokemon.fandom.com/ko/wiki/%ED%83%95%EA%B5%AC%EB%A6%AC_(%ED%8F%AC%EC%BC%93%EB%AA%AC)" xr:uid="{17A9AEF3-6C80-406D-ACFD-BF031218B419}"/>
    <hyperlink ref="C118" r:id="rId106" tooltip="텅구리 (포켓몬)" display="https://pokemon.fandom.com/ko/wiki/%ED%85%85%EA%B5%AC%EB%A6%AC_(%ED%8F%AC%EC%BC%93%EB%AA%AC)" xr:uid="{A9A365D4-2E2B-424E-AFDD-F5EB6C9F296D}"/>
    <hyperlink ref="C119" r:id="rId107" tooltip="시라소몬 (포켓몬)" display="https://pokemon.fandom.com/ko/wiki/%EC%8B%9C%EB%9D%BC%EC%86%8C%EB%AA%AC_(%ED%8F%AC%EC%BC%93%EB%AA%AC)" xr:uid="{6B0AEC81-D445-4846-80B8-924C567D273E}"/>
    <hyperlink ref="C120" r:id="rId108" tooltip="홍수몬 (포켓몬)" display="https://pokemon.fandom.com/ko/wiki/%ED%99%8D%EC%88%98%EB%AA%AC_(%ED%8F%AC%EC%BC%93%EB%AA%AC)" xr:uid="{6DA8FD42-E418-4E80-9467-D67E8DBD676D}"/>
    <hyperlink ref="C121" r:id="rId109" tooltip="내루미 (포켓몬)" display="https://pokemon.fandom.com/ko/wiki/%EB%82%B4%EB%A3%A8%EB%AF%B8_(%ED%8F%AC%EC%BC%93%EB%AA%AC)" xr:uid="{90318E84-FD78-4DE7-A264-5639A049A229}"/>
    <hyperlink ref="C122" r:id="rId110" tooltip="또가스 (포켓몬)" display="https://pokemon.fandom.com/ko/wiki/%EB%98%90%EA%B0%80%EC%8A%A4_(%ED%8F%AC%EC%BC%93%EB%AA%AC)" xr:uid="{F82C45AA-26EB-4D75-B2B4-8E20DA205650}"/>
    <hyperlink ref="C123" r:id="rId111" tooltip="또도가스 (포켓몬)" display="https://pokemon.fandom.com/ko/wiki/%EB%98%90%EB%8F%84%EA%B0%80%EC%8A%A4_(%ED%8F%AC%EC%BC%93%EB%AA%AC)" xr:uid="{56DA3C38-469B-429D-AAF9-335D5BE0364D}"/>
    <hyperlink ref="C124" r:id="rId112" tooltip="뿔카노 (포켓몬)" display="https://pokemon.fandom.com/ko/wiki/%EB%BF%94%EC%B9%B4%EB%85%B8_(%ED%8F%AC%EC%BC%93%EB%AA%AC)" xr:uid="{5F7CE194-CF06-4D8E-9BA3-EAE487766D1F}"/>
    <hyperlink ref="C125" r:id="rId113" tooltip="코뿌리 (포켓몬)" display="https://pokemon.fandom.com/ko/wiki/%EC%BD%94%EB%BF%8C%EB%A6%AC_(%ED%8F%AC%EC%BC%93%EB%AA%AC)" xr:uid="{EF120C7C-56DD-42AF-9D94-B5A3E7F28AF5}"/>
    <hyperlink ref="C126" r:id="rId114" tooltip="럭키 (포켓몬)" display="https://pokemon.fandom.com/ko/wiki/%EB%9F%AD%ED%82%A4_(%ED%8F%AC%EC%BC%93%EB%AA%AC)" xr:uid="{74E086EA-F4C5-4FD7-A3A8-492B198832E4}"/>
    <hyperlink ref="C127" r:id="rId115" tooltip="덩쿠리 (포켓몬)" display="https://pokemon.fandom.com/ko/wiki/%EB%8D%A9%EC%BF%A0%EB%A6%AC_(%ED%8F%AC%EC%BC%93%EB%AA%AC)" xr:uid="{C1BE47B5-D7EB-4208-982F-6B346E6CF926}"/>
    <hyperlink ref="C128" r:id="rId116" tooltip="캥카 (포켓몬)" display="https://pokemon.fandom.com/ko/wiki/%EC%BA%A5%EC%B9%B4_(%ED%8F%AC%EC%BC%93%EB%AA%AC)" xr:uid="{A1BE19FF-44C6-4646-A4BE-BEDE2AD21136}"/>
    <hyperlink ref="C129" r:id="rId117" tooltip="쏘드라 (포켓몬)" display="https://pokemon.fandom.com/ko/wiki/%EC%8F%98%EB%93%9C%EB%9D%BC_(%ED%8F%AC%EC%BC%93%EB%AA%AC)" xr:uid="{13A0E836-DD7A-4322-BA61-8113CDD77D43}"/>
    <hyperlink ref="C130" r:id="rId118" tooltip="시드라 (포켓몬)" display="https://pokemon.fandom.com/ko/wiki/%EC%8B%9C%EB%93%9C%EB%9D%BC_(%ED%8F%AC%EC%BC%93%EB%AA%AC)" xr:uid="{F38362BA-A8D6-4B1A-B011-02247062B229}"/>
    <hyperlink ref="C131" r:id="rId119" tooltip="콘치 (포켓몬)" display="https://pokemon.fandom.com/ko/wiki/%EC%BD%98%EC%B9%98_(%ED%8F%AC%EC%BC%93%EB%AA%AC)" xr:uid="{B16DA0CA-20C5-4046-8D43-4CDC8C40159F}"/>
    <hyperlink ref="C132" r:id="rId120" tooltip="왕콘치 (포켓몬)" display="https://pokemon.fandom.com/ko/wiki/%EC%99%95%EC%BD%98%EC%B9%98_(%ED%8F%AC%EC%BC%93%EB%AA%AC)" xr:uid="{A4D0F566-DB49-4AE5-B5C7-013F6AD455AE}"/>
    <hyperlink ref="C133" r:id="rId121" tooltip="별가사리 (포켓몬)" display="https://pokemon.fandom.com/ko/wiki/%EB%B3%84%EA%B0%80%EC%82%AC%EB%A6%AC_(%ED%8F%AC%EC%BC%93%EB%AA%AC)" xr:uid="{362F449A-286C-405C-BED7-B88512CE4DD1}"/>
    <hyperlink ref="C134" r:id="rId122" tooltip="아쿠스타 (포켓몬)" display="https://pokemon.fandom.com/ko/wiki/%EC%95%84%EC%BF%A0%EC%8A%A4%ED%83%80_(%ED%8F%AC%EC%BC%93%EB%AA%AC)" xr:uid="{DE604B3B-8D2B-4403-8B8F-9EC59E4BC625}"/>
    <hyperlink ref="C135" r:id="rId123" tooltip="마임맨 (포켓몬)" display="https://pokemon.fandom.com/ko/wiki/%EB%A7%88%EC%9E%84%EB%A7%A8_(%ED%8F%AC%EC%BC%93%EB%AA%AC)" xr:uid="{EB7F9394-71E5-4A67-B0A3-23A45133ECAD}"/>
    <hyperlink ref="C136" r:id="rId124" tooltip="스라크 (포켓몬)" display="https://pokemon.fandom.com/ko/wiki/%EC%8A%A4%EB%9D%BC%ED%81%AC_(%ED%8F%AC%EC%BC%93%EB%AA%AC)" xr:uid="{D5B3B27E-375D-4070-81AB-905E31C43992}"/>
    <hyperlink ref="C137" r:id="rId125" tooltip="루주라 (포켓몬)" display="https://pokemon.fandom.com/ko/wiki/%EB%A3%A8%EC%A3%BC%EB%9D%BC_(%ED%8F%AC%EC%BC%93%EB%AA%AC)" xr:uid="{AA80AD97-5AC7-4136-9DCC-F20990D2F674}"/>
    <hyperlink ref="C138" r:id="rId126" tooltip="에레브 (포켓몬)" display="https://pokemon.fandom.com/ko/wiki/%EC%97%90%EB%A0%88%EB%B8%8C_(%ED%8F%AC%EC%BC%93%EB%AA%AC)" xr:uid="{B7EA05C3-CBC3-4907-B1B7-B1F6892FA840}"/>
    <hyperlink ref="C139" r:id="rId127" tooltip="마그마 (포켓몬)" display="https://pokemon.fandom.com/ko/wiki/%EB%A7%88%EA%B7%B8%EB%A7%88_(%ED%8F%AC%EC%BC%93%EB%AA%AC)" xr:uid="{8059B29B-88ED-46DA-A2B2-C49D6977BC5B}"/>
    <hyperlink ref="C140" r:id="rId128" tooltip="쁘사이저 (포켓몬)" display="https://pokemon.fandom.com/ko/wiki/%EC%81%98%EC%82%AC%EC%9D%B4%EC%A0%80_(%ED%8F%AC%EC%BC%93%EB%AA%AC)" xr:uid="{01079B07-EE8B-4F8D-8C26-D3FB67EA0508}"/>
    <hyperlink ref="C141" r:id="rId129" tooltip="켄타로스 (포켓몬)" display="https://pokemon.fandom.com/ko/wiki/%EC%BC%84%ED%83%80%EB%A1%9C%EC%8A%A4_(%ED%8F%AC%EC%BC%93%EB%AA%AC)" xr:uid="{28EE0431-E0B2-4BAD-B6CD-0F402BF52E7D}"/>
    <hyperlink ref="C142" r:id="rId130" tooltip="잉어킹 (포켓몬)" display="https://pokemon.fandom.com/ko/wiki/%EC%9E%89%EC%96%B4%ED%82%B9_(%ED%8F%AC%EC%BC%93%EB%AA%AC)" xr:uid="{862DFB2B-16B6-48C3-9379-E50A3B246483}"/>
    <hyperlink ref="C143" r:id="rId131" tooltip="갸라도스 (포켓몬)" display="https://pokemon.fandom.com/ko/wiki/%EA%B0%B8%EB%9D%BC%EB%8F%84%EC%8A%A4_(%ED%8F%AC%EC%BC%93%EB%AA%AC)" xr:uid="{77FACC22-493D-4257-B81C-4D7CE06C13ED}"/>
    <hyperlink ref="C144" r:id="rId132" tooltip="라프라스 (포켓몬)" display="https://pokemon.fandom.com/ko/wiki/%EB%9D%BC%ED%94%84%EB%9D%BC%EC%8A%A4_(%ED%8F%AC%EC%BC%93%EB%AA%AC)" xr:uid="{2BB5C36F-8DA3-49FA-80B3-A9A69B52B855}"/>
    <hyperlink ref="C145" r:id="rId133" tooltip="메타몽 (포켓몬)" display="https://pokemon.fandom.com/ko/wiki/%EB%A9%94%ED%83%80%EB%AA%BD_(%ED%8F%AC%EC%BC%93%EB%AA%AC)" xr:uid="{FA205E9D-2C3B-4C94-9820-ED9323B3B543}"/>
    <hyperlink ref="C146" r:id="rId134" tooltip="이브이 (포켓몬)" display="https://pokemon.fandom.com/ko/wiki/%EC%9D%B4%EB%B8%8C%EC%9D%B4_(%ED%8F%AC%EC%BC%93%EB%AA%AC)" xr:uid="{285AB51F-0D0E-40E8-A8CF-071B6D2E5DB8}"/>
    <hyperlink ref="C147" r:id="rId135" tooltip="샤미드 (포켓몬)" display="https://pokemon.fandom.com/ko/wiki/%EC%83%A4%EB%AF%B8%EB%93%9C_(%ED%8F%AC%EC%BC%93%EB%AA%AC)" xr:uid="{AD755702-FE3B-41DA-BDCB-A2EFD3860DE0}"/>
    <hyperlink ref="C148" r:id="rId136" tooltip="쥬피썬더 (포켓몬)" display="https://pokemon.fandom.com/ko/wiki/%EC%A5%AC%ED%94%BC%EC%8D%AC%EB%8D%94_(%ED%8F%AC%EC%BC%93%EB%AA%AC)" xr:uid="{FD99410A-74D4-4064-895D-06462015812A}"/>
    <hyperlink ref="C149" r:id="rId137" tooltip="부스터 (포켓몬)" display="https://pokemon.fandom.com/ko/wiki/%EB%B6%80%EC%8A%A4%ED%84%B0_(%ED%8F%AC%EC%BC%93%EB%AA%AC)" xr:uid="{3338B5DF-461C-47A0-BDE9-812CB77A6066}"/>
    <hyperlink ref="C150" r:id="rId138" tooltip="폴리곤 (포켓몬)" display="https://pokemon.fandom.com/ko/wiki/%ED%8F%B4%EB%A6%AC%EA%B3%A4_(%ED%8F%AC%EC%BC%93%EB%AA%AC)" xr:uid="{C9175B75-3653-4E2B-B159-0961F562D378}"/>
    <hyperlink ref="C151" r:id="rId139" tooltip="암나이트 (포켓몬)" display="https://pokemon.fandom.com/ko/wiki/%EC%95%94%EB%82%98%EC%9D%B4%ED%8A%B8_(%ED%8F%AC%EC%BC%93%EB%AA%AC)" xr:uid="{29D00D22-CD1A-470F-9FE3-6BF0A8C294E2}"/>
    <hyperlink ref="C152" r:id="rId140" tooltip="암스타 (포켓몬)" display="https://pokemon.fandom.com/ko/wiki/%EC%95%94%EC%8A%A4%ED%83%80_(%ED%8F%AC%EC%BC%93%EB%AA%AC)" xr:uid="{632624AC-9555-47FC-97E4-1635B5703D7B}"/>
    <hyperlink ref="C153" r:id="rId141" tooltip="투구 (포켓몬)" display="https://pokemon.fandom.com/ko/wiki/%ED%88%AC%EA%B5%AC_(%ED%8F%AC%EC%BC%93%EB%AA%AC)" xr:uid="{C655F234-2998-45AC-BF78-484AFFE47746}"/>
    <hyperlink ref="C154" r:id="rId142" tooltip="투구푸스 (포켓몬)" display="https://pokemon.fandom.com/ko/wiki/%ED%88%AC%EA%B5%AC%ED%91%B8%EC%8A%A4_(%ED%8F%AC%EC%BC%93%EB%AA%AC)" xr:uid="{18B30C0E-1C42-4CEE-9A9F-88FDF1B22D58}"/>
    <hyperlink ref="C155" r:id="rId143" tooltip="프테라 (포켓몬)" display="https://pokemon.fandom.com/ko/wiki/%ED%94%84%ED%85%8C%EB%9D%BC_(%ED%8F%AC%EC%BC%93%EB%AA%AC)" xr:uid="{3ED8D492-A0D4-4817-8054-9D3D9AE1A418}"/>
    <hyperlink ref="C156" r:id="rId144" tooltip="잠만보 (포켓몬)" display="https://pokemon.fandom.com/ko/wiki/%EC%9E%A0%EB%A7%8C%EB%B3%B4_(%ED%8F%AC%EC%BC%93%EB%AA%AC)" xr:uid="{61439667-E1B4-45BC-BEEE-8A7ACA5EB171}"/>
    <hyperlink ref="C157" r:id="rId145" tooltip="프리져 (포켓몬)" display="https://pokemon.fandom.com/ko/wiki/%ED%94%84%EB%A6%AC%EC%A0%B8_(%ED%8F%AC%EC%BC%93%EB%AA%AC)" xr:uid="{99392105-5CE7-4BAE-8CC7-4996C0BF53C8}"/>
    <hyperlink ref="C158" r:id="rId146" tooltip="썬더 (포켓몬)" display="https://pokemon.fandom.com/ko/wiki/%EC%8D%AC%EB%8D%94_(%ED%8F%AC%EC%BC%93%EB%AA%AC)" xr:uid="{52C59525-B78B-43BC-A589-AD508BE14E1D}"/>
    <hyperlink ref="C159" r:id="rId147" tooltip="파이어 (포켓몬)" display="https://pokemon.fandom.com/ko/wiki/%ED%8C%8C%EC%9D%B4%EC%96%B4_(%ED%8F%AC%EC%BC%93%EB%AA%AC)" xr:uid="{5EF815FD-A217-4770-811A-E3D6AB4B87EC}"/>
    <hyperlink ref="C160" r:id="rId148" tooltip="미뇽 (포켓몬)" display="https://pokemon.fandom.com/ko/wiki/%EB%AF%B8%EB%87%BD_(%ED%8F%AC%EC%BC%93%EB%AA%AC)" xr:uid="{3D556849-31A8-4AA9-B0F9-709CCF0F793B}"/>
    <hyperlink ref="C161" r:id="rId149" tooltip="신뇽 (포켓몬)" display="https://pokemon.fandom.com/ko/wiki/%EC%8B%A0%EB%87%BD_(%ED%8F%AC%EC%BC%93%EB%AA%AC)" xr:uid="{6C0F5F1E-7471-416F-9D59-903D143AFE5A}"/>
    <hyperlink ref="C162" r:id="rId150" tooltip="망나뇽 (포켓몬)" display="https://pokemon.fandom.com/ko/wiki/%EB%A7%9D%EB%82%98%EB%87%BD_(%ED%8F%AC%EC%BC%93%EB%AA%AC)" xr:uid="{ABE61AA9-9AEE-4729-8A07-3BA307B40D59}"/>
    <hyperlink ref="C163" r:id="rId151" tooltip="뮤츠 (포켓몬)" display="https://pokemon.fandom.com/ko/wiki/%EB%AE%A4%EC%B8%A0_(%ED%8F%AC%EC%BC%93%EB%AA%AC)" xr:uid="{FB502ACB-B382-4DA5-B83C-3734B2212235}"/>
    <hyperlink ref="C164" r:id="rId152" tooltip="뮤 (포켓몬)" display="https://pokemon.fandom.com/ko/wiki/%EB%AE%A4_(%ED%8F%AC%EC%BC%93%EB%AA%AC)" xr:uid="{0B492EB6-ACC4-45B9-A135-6AB593CB2496}"/>
  </hyperlinks>
  <pageMargins left="0.7" right="0.7" top="0.75" bottom="0.75" header="0.3" footer="0.3"/>
  <drawing r:id="rId1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한결 장</dc:creator>
  <cp:lastModifiedBy>한결 장</cp:lastModifiedBy>
  <dcterms:created xsi:type="dcterms:W3CDTF">2025-12-03T10:01:08Z</dcterms:created>
  <dcterms:modified xsi:type="dcterms:W3CDTF">2025-12-05T20:12:26Z</dcterms:modified>
</cp:coreProperties>
</file>